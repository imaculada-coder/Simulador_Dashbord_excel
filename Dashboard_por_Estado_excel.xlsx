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maculadasaqueto/Downloads/"/>
    </mc:Choice>
  </mc:AlternateContent>
  <xr:revisionPtr revIDLastSave="0" documentId="8_{CC656FDF-D089-2440-B2AE-F552E484DFC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Dashboard" sheetId="1" r:id="rId1"/>
    <sheet name="Assets" sheetId="2" r:id="rId2"/>
    <sheet name="Base_2005" sheetId="3" r:id="rId3"/>
    <sheet name="Base_2015" sheetId="4" r:id="rId4"/>
    <sheet name="Base_2025" sheetId="5" r:id="rId5"/>
    <sheet name="Dados_Tratados" sheetId="6" r:id="rId6"/>
    <sheet name="Cálcul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G12" i="7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L47" i="1"/>
  <c r="B47" i="1"/>
  <c r="E8" i="7" s="1"/>
  <c r="L46" i="1"/>
  <c r="L45" i="1"/>
  <c r="B43" i="1"/>
  <c r="D8" i="7" s="1"/>
  <c r="B39" i="1"/>
  <c r="B8" i="7"/>
  <c r="F21" i="1"/>
  <c r="F14" i="1"/>
  <c r="AI7" i="1"/>
  <c r="AI6" i="1"/>
  <c r="AI5" i="1"/>
  <c r="AI4" i="1"/>
  <c r="AI3" i="1"/>
  <c r="G46" i="1" l="1"/>
  <c r="H46" i="1"/>
  <c r="I46" i="1"/>
  <c r="D14" i="7"/>
  <c r="E13" i="7"/>
  <c r="D13" i="7"/>
  <c r="E12" i="7"/>
  <c r="D12" i="7"/>
  <c r="C8" i="7"/>
  <c r="C19" i="7"/>
  <c r="E14" i="7"/>
  <c r="D20" i="7"/>
  <c r="C20" i="7"/>
  <c r="E19" i="7"/>
  <c r="D19" i="7"/>
  <c r="E22" i="7"/>
  <c r="D22" i="7"/>
  <c r="C22" i="7"/>
  <c r="E21" i="7"/>
  <c r="D21" i="7"/>
  <c r="C21" i="7"/>
  <c r="E20" i="7"/>
  <c r="D23" i="7"/>
  <c r="C23" i="7"/>
  <c r="D30" i="7"/>
  <c r="C29" i="7"/>
  <c r="E23" i="7"/>
  <c r="C30" i="7"/>
  <c r="D29" i="7"/>
  <c r="D33" i="7"/>
  <c r="C33" i="7"/>
  <c r="D32" i="7"/>
  <c r="C32" i="7"/>
  <c r="D31" i="7"/>
  <c r="C31" i="7"/>
  <c r="AF9" i="1"/>
  <c r="AE9" i="1"/>
  <c r="AF8" i="1"/>
  <c r="O46" i="1" s="1"/>
  <c r="AE8" i="1"/>
  <c r="AF7" i="1"/>
  <c r="O45" i="1" s="1"/>
  <c r="AE7" i="1"/>
  <c r="AL7" i="1"/>
  <c r="AK7" i="1"/>
  <c r="AJ7" i="1"/>
  <c r="AK6" i="1"/>
  <c r="AJ6" i="1"/>
  <c r="AL6" i="1"/>
  <c r="AJ5" i="1"/>
  <c r="AK5" i="1"/>
  <c r="AL5" i="1"/>
  <c r="AJ4" i="1"/>
  <c r="AK4" i="1"/>
  <c r="F46" i="1"/>
  <c r="AL4" i="1"/>
  <c r="AL3" i="1"/>
  <c r="H45" i="1" s="1"/>
  <c r="AK3" i="1"/>
  <c r="F45" i="1"/>
  <c r="AJ3" i="1"/>
  <c r="C13" i="7" l="1"/>
  <c r="F13" i="7" s="1"/>
  <c r="C14" i="7"/>
  <c r="C12" i="7"/>
  <c r="H23" i="7"/>
  <c r="H19" i="7"/>
  <c r="F19" i="7"/>
  <c r="G19" i="7"/>
  <c r="H22" i="7"/>
  <c r="F22" i="7"/>
  <c r="G22" i="7"/>
  <c r="E32" i="7"/>
  <c r="G21" i="7"/>
  <c r="F21" i="7"/>
  <c r="H21" i="7"/>
  <c r="F20" i="7"/>
  <c r="G20" i="7"/>
  <c r="H20" i="7"/>
  <c r="F23" i="7"/>
  <c r="G23" i="7"/>
  <c r="E31" i="7"/>
  <c r="E30" i="7"/>
  <c r="E29" i="7"/>
  <c r="E33" i="7"/>
  <c r="R10" i="1"/>
  <c r="O47" i="1"/>
  <c r="AG9" i="1"/>
  <c r="N47" i="1"/>
  <c r="L10" i="1"/>
  <c r="N46" i="1"/>
  <c r="AG8" i="1"/>
  <c r="M46" i="1" s="1"/>
  <c r="N45" i="1"/>
  <c r="AG7" i="1"/>
  <c r="M45" i="1" s="1"/>
  <c r="I45" i="1"/>
  <c r="G45" i="1"/>
  <c r="F14" i="7" l="1"/>
  <c r="G14" i="7"/>
  <c r="F12" i="7"/>
  <c r="G13" i="7"/>
  <c r="M47" i="1"/>
  <c r="F17" i="1"/>
  <c r="F10" i="1"/>
  <c r="R17" i="1" s="1"/>
  <c r="L1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<sst xmlns="http://schemas.openxmlformats.org/spreadsheetml/2006/main" count="6227" uniqueCount="156">
  <si>
    <t>Todos os estados</t>
  </si>
  <si>
    <t>Localidade</t>
  </si>
  <si>
    <t>PROUNI  |  EVOLUÇÃO DAS BOLSAS POR ESTADO E REGIÃO</t>
  </si>
  <si>
    <t>AC - Acre</t>
  </si>
  <si>
    <t>AL - Alagoas</t>
  </si>
  <si>
    <t>2005  •  2015  •  2025     |     Selecione uma UF para visualizar totais e evolução das bolsas</t>
  </si>
  <si>
    <t>AP - Amapá</t>
  </si>
  <si>
    <t>AM - Amazonas</t>
  </si>
  <si>
    <t>Ano</t>
  </si>
  <si>
    <t>Integral</t>
  </si>
  <si>
    <t>Parcial</t>
  </si>
  <si>
    <t>Total</t>
  </si>
  <si>
    <t>BA - Bahia</t>
  </si>
  <si>
    <t>CE - Ceará</t>
  </si>
  <si>
    <t>TOTAL DE BOLSAS</t>
  </si>
  <si>
    <t>BOLSAS INTEGRAIS</t>
  </si>
  <si>
    <t>BOLSAS PARCIAIS</t>
  </si>
  <si>
    <t>DF - Distrito Federal</t>
  </si>
  <si>
    <t>ES - Espírito Santo</t>
  </si>
  <si>
    <t>GO - Goiás</t>
  </si>
  <si>
    <t>MA - Maranhão</t>
  </si>
  <si>
    <t>Concessões de bolsa parcial 50%</t>
  </si>
  <si>
    <t>MT - Mato Grosso</t>
  </si>
  <si>
    <t>MS - Mato Grosso do Sul</t>
  </si>
  <si>
    <t>REGIÃO</t>
  </si>
  <si>
    <t>EVOLUÇÃO 2005 → 2025</t>
  </si>
  <si>
    <t>EVOLUÇÃO 2015 → 2025</t>
  </si>
  <si>
    <t>PARTICIPAÇÃO INTEGRAL</t>
  </si>
  <si>
    <t>MG - Minas Gerais</t>
  </si>
  <si>
    <t>Brasil</t>
  </si>
  <si>
    <t>PA - Pará</t>
  </si>
  <si>
    <t>PB - Paraíba</t>
  </si>
  <si>
    <t>PR - Paraná</t>
  </si>
  <si>
    <t>TIPO DE BOLSA</t>
  </si>
  <si>
    <t>PE - Pernambuco</t>
  </si>
  <si>
    <t>PI - Piauí</t>
  </si>
  <si>
    <t>Todas</t>
  </si>
  <si>
    <t>RJ - Rio de Janeiro</t>
  </si>
  <si>
    <t>RN - Rio Grande do Norte</t>
  </si>
  <si>
    <t>RS - Rio Grande do Sul</t>
  </si>
  <si>
    <t>MODALIDADE DE ENSINO</t>
  </si>
  <si>
    <t>RR - Roraima</t>
  </si>
  <si>
    <t>SC - Santa Catarina</t>
  </si>
  <si>
    <t>SP - São Paulo</t>
  </si>
  <si>
    <t>SE - Sergipe</t>
  </si>
  <si>
    <t>TO - Tocantins</t>
  </si>
  <si>
    <t>ANO DOS INDICADORES</t>
  </si>
  <si>
    <t>BALANÇO TERRITORIAL  |  2005 → 2025</t>
  </si>
  <si>
    <t>SÉRIE DO RECORTE SELECIONADO</t>
  </si>
  <si>
    <t>Região / UF</t>
  </si>
  <si>
    <t>2005</t>
  </si>
  <si>
    <t>2025</t>
  </si>
  <si>
    <t>Var. %</t>
  </si>
  <si>
    <t>UF selecionada tem prioridade sobre o filtro de região.</t>
  </si>
  <si>
    <t>Use as setas dos campos acima para comparar 2005, 2015 e 2025. O gráfico e os indicadores são atualizados automaticamente.</t>
  </si>
  <si>
    <t>ASSETS  |  IDENTIDADE VISUAL E METODOLOGIA</t>
  </si>
  <si>
    <t>MEC • ProUni | tratamento e análise de bolsas concedidas — 2005 · 2015 · 2025</t>
  </si>
  <si>
    <t>← DASHBOARD</t>
  </si>
  <si>
    <t>PALETA • MAIS CONSULTORIA</t>
  </si>
  <si>
    <t>Azul principal</t>
  </si>
  <si>
    <t>#073C93</t>
  </si>
  <si>
    <t>Azul escuro</t>
  </si>
  <si>
    <t>#092C65</t>
  </si>
  <si>
    <t>Verde institucional</t>
  </si>
  <si>
    <t>#17CD4D</t>
  </si>
  <si>
    <t>Fundo suave</t>
  </si>
  <si>
    <t>#F3F6FB</t>
  </si>
  <si>
    <t>Texto</t>
  </si>
  <si>
    <t>#172B4D</t>
  </si>
  <si>
    <t>FONTES E PROCEDIMENTO</t>
  </si>
  <si>
    <t>Arquivos: pda-prouni-2005.csv | pda-prouni-2015.csv | prouni_pda_2025.csv.</t>
  </si>
  <si>
    <t>Unidade de análise: registros de concessão de bolsa, NÃO estudantes únicos ou estoque de matriculados.</t>
  </si>
  <si>
    <t>Geografia: região e UF do BENEFICIÁRIO, não região ou município da instituição de ensino.</t>
  </si>
  <si>
    <t>Padronização: bolsa integral/parcial 50%; presencial/EaD; masculino/feminino; cinco regiões IBGE.</t>
  </si>
  <si>
    <t>2005 e 2015: região e UF não preenchidas em alguns registros; mantidos no agregado Brasil (categoria Não informado).</t>
  </si>
  <si>
    <t>2025: valores de modalidade “EAD” compatibilizados com “EDUCAÇÃO A DISTÂNCIA” de 2005/2015.</t>
  </si>
  <si>
    <t>Bases anuais e Dados_Tratados estão agregados (UF × tipo × modalidade × sexo), sem dados pessoais.</t>
  </si>
  <si>
    <t>Todas as fórmulas do Dashboard se referem a Cálculos e Dados_Tratados, permitindo atualizar filtros.</t>
  </si>
  <si>
    <t>BASE TRATADA  |  PROUNI 2005</t>
  </si>
  <si>
    <t>Dados agregados por UF do beneficiário, tipo, modalidade e sexo (sem CPF nem dados pessoais)</t>
  </si>
  <si>
    <t>Bolsas registradas</t>
  </si>
  <si>
    <t>Bolsas integrais</t>
  </si>
  <si>
    <t>Bolsas parciais</t>
  </si>
  <si>
    <t>Região</t>
  </si>
  <si>
    <t>UF</t>
  </si>
  <si>
    <t>Tipo de bolsa</t>
  </si>
  <si>
    <t>Modalidade</t>
  </si>
  <si>
    <t>Sexo</t>
  </si>
  <si>
    <t>Bolsas</t>
  </si>
  <si>
    <t>% do ano</t>
  </si>
  <si>
    <t>Norte</t>
  </si>
  <si>
    <t>AC</t>
  </si>
  <si>
    <t>EaD</t>
  </si>
  <si>
    <t>Feminino</t>
  </si>
  <si>
    <t>Presencial</t>
  </si>
  <si>
    <t>Masculino</t>
  </si>
  <si>
    <t>AM</t>
  </si>
  <si>
    <t>AP</t>
  </si>
  <si>
    <t>PA</t>
  </si>
  <si>
    <t>RO</t>
  </si>
  <si>
    <t>RR</t>
  </si>
  <si>
    <t>TO</t>
  </si>
  <si>
    <t>Nordeste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</si>
  <si>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</si>
  <si>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</si>
  <si>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</si>
  <si>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</si>
  <si>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</si>
  <si>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</si>
  <si>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</si>
  <si>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</si>
  <si>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</si>
  <si>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Centro-Oeste</t>
  </si>
  <si>
    <t>DF</t>
  </si>
  <si>
    <t>GO</t>
  </si>
  <si>
    <t>MS</t>
  </si>
  <si>
    <t>MT</t>
  </si>
  <si>
    <t>Sudeste</t>
  </si>
  <si>
    <t>ES</t>
  </si>
  <si>
    <t>MG</t>
  </si>
  <si>
    <t>RJ</t>
  </si>
  <si>
    <t>SP</t>
  </si>
  <si>
    <t>Sul</t>
  </si>
  <si>
    <t>PR</t>
  </si>
  <si>
    <t>RS</t>
  </si>
  <si>
    <t>SC</t>
  </si>
  <si>
    <t>Não informado</t>
  </si>
  <si>
    <t>NI</t>
  </si>
  <si>
    <t>Controle: soma das linhas = 95,629 registros; região não informada: 266.</t>
  </si>
  <si>
    <t>BASE TRATADA  |  PROUNI 2015</t>
  </si>
  <si>
    <t>Controle: soma das linhas = 252,650 registros; região não informada: 15.</t>
  </si>
  <si>
    <t>BASE TRATADA  |  PROUNI 2025</t>
  </si>
  <si>
    <t>Controle: soma das linhas = 174,920 registros; região não informada: 0.</t>
  </si>
  <si>
    <t>DADOS TRATADOS  |  BASE CONSOLIDADA</t>
  </si>
  <si>
    <t>Grão analítico: ano × região do beneficiário × UF × bolsa × modalidade × sexo</t>
  </si>
  <si>
    <t>CÁLCULOS  |  CAMADA ANALÍTICA</t>
  </si>
  <si>
    <t>Valores derivados por fórmulas SUMIFS a partir da aba Dados_Tratados, conforme os filtros do Dashboard.</t>
  </si>
  <si>
    <t>Região selecionada</t>
  </si>
  <si>
    <t>Tipo selecionado</t>
  </si>
  <si>
    <t>Ano de referência</t>
  </si>
  <si>
    <t>SÉRIE NACIONAL / REGIONAL SELECIONADA — TODOS OS ANOS</t>
  </si>
  <si>
    <t>Total no recorte</t>
  </si>
  <si>
    <t>% integrais</t>
  </si>
  <si>
    <t>Variação vs. anterior</t>
  </si>
  <si>
    <t>GRÁFICO ÚNICO — COMPARAÇÃO POR REGIÃO (3 ANOS; TIPO/MODALIDADE FILTRÁVEIS)</t>
  </si>
  <si>
    <t>2015</t>
  </si>
  <si>
    <t>Var. abs. 05–25</t>
  </si>
  <si>
    <t>Var. % 05–25</t>
  </si>
  <si>
    <t>Var. % 15–25</t>
  </si>
  <si>
    <t>REGIÃO POR TIPO — NO ANO SELECIONADO</t>
  </si>
  <si>
    <t>Notas de cálculo: categoria “Não informado” soma ao Brasil, mas não integra os cinco grupos regionais do gráfico.</t>
  </si>
  <si>
    <t>Concessões de bolsa integral (100%)</t>
  </si>
  <si>
    <t>ESTADO (UF)</t>
  </si>
  <si>
    <t xml:space="preserve">FONTE: MEC / Dados abertos do ProUni • Bases de 2005, 2015 e 2025 </t>
  </si>
  <si>
    <t xml:space="preserve">MÉTRICA: registros de concessão de bolsas parciais e integrais </t>
  </si>
  <si>
    <t>Origem: Ministério da Educação (MEC) • dados abertos do Programa Universidade para Todos (ProUni).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</si>
</sst>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;0.0%"/>
  </numFmts>
  <fonts count="27">
    <font>
      <sz val="11"/>
      <name val="Carlito"/>
    </font>
    <font>
      <b/>
      <sz val="18"/>
      <color rgb="FFFFFFFF"/>
      <name val="Carlito"/>
    </font>
    <font>
      <sz val="10"/>
      <color rgb="FF70819C"/>
      <name val="Carlito"/>
    </font>
    <font>
      <b/>
      <sz val="10"/>
      <color rgb="FF073C93"/>
      <name val="Carlito"/>
    </font>
    <font>
      <b/>
      <sz val="15"/>
      <color rgb="FF073C93"/>
      <name val="Carlito"/>
    </font>
    <font>
      <b/>
      <sz val="11"/>
      <color rgb="FF0B2444"/>
      <name val="Carlito"/>
    </font>
    <font>
      <b/>
      <sz val="11"/>
      <color rgb="FFFFFFFF"/>
      <name val="Carlito"/>
    </font>
    <font>
      <sz val="10"/>
      <color rgb="FF172B4D"/>
      <name val="Carlito"/>
    </font>
    <font>
      <sz val="11"/>
      <color rgb="FF70819C"/>
      <name val="Carlito"/>
    </font>
    <font>
      <b/>
      <sz val="11"/>
      <color rgb="FF073C93"/>
      <name val="Carlito"/>
    </font>
    <font>
      <b/>
      <sz val="11"/>
      <color rgb="FF172B4D"/>
      <name val="Carlito"/>
    </font>
    <font>
      <sz val="10"/>
      <color rgb="FFBED0EA"/>
      <name val="Carlito"/>
    </font>
    <font>
      <b/>
      <sz val="11"/>
      <color rgb="FF092C65"/>
      <name val="Carlito"/>
    </font>
    <font>
      <b/>
      <sz val="22"/>
      <color rgb="FF092C65"/>
      <name val="Carlito"/>
    </font>
    <font>
      <b/>
      <sz val="10"/>
      <color rgb="FF70819C"/>
      <name val="Carlito"/>
    </font>
    <font>
      <sz val="9"/>
      <color rgb="FF70819C"/>
      <name val="Carlito"/>
    </font>
    <font>
      <b/>
      <sz val="18"/>
      <color rgb="FF073C93"/>
      <name val="Carlito"/>
    </font>
    <font>
      <b/>
      <sz val="18"/>
      <color rgb="FF17CD4D"/>
      <name val="Carlito"/>
    </font>
    <font>
      <b/>
      <sz val="13"/>
      <color rgb="FF092C65"/>
      <name val="Carlito"/>
    </font>
    <font>
      <b/>
      <sz val="12"/>
      <color rgb="FF092C65"/>
      <name val="Carlito"/>
    </font>
    <font>
      <b/>
      <sz val="10"/>
      <color rgb="FFFFFFFF"/>
      <name val="Carlito"/>
    </font>
    <font>
      <sz val="11"/>
      <color rgb="FF172B4D"/>
      <name val="Carlito"/>
    </font>
    <font>
      <sz val="10"/>
      <color rgb="FFFFFFFF"/>
      <name val="Carlito"/>
    </font>
    <font>
      <b/>
      <sz val="10"/>
      <color rgb="FFBED0EA"/>
      <name val="Carlito"/>
    </font>
    <font>
      <sz val="9"/>
      <color rgb="FF0B2444"/>
      <name val="Carlito"/>
    </font>
    <font>
      <sz val="9"/>
      <color rgb="FFFFFFFF"/>
      <name val="Carlito"/>
    </font>
    <font>
      <sz val="11"/>
      <color rgb="FFEDF6FF"/>
      <name val="Aptos"/>
    </font>
  </fonts>
  <fills count="14">
    <fill>
      <patternFill patternType="none"/>
    </fill>
    <fill>
      <patternFill patternType="gray125"/>
    </fill>
    <fill>
      <patternFill patternType="solid">
        <fgColor rgb="FF092C65"/>
      </patternFill>
    </fill>
    <fill>
      <patternFill patternType="solid">
        <fgColor rgb="FFE5EDF8"/>
      </patternFill>
    </fill>
    <fill>
      <patternFill patternType="solid">
        <fgColor rgb="FFF8FAFD"/>
      </patternFill>
    </fill>
    <fill>
      <patternFill patternType="solid">
        <fgColor rgb="FF073C93"/>
      </patternFill>
    </fill>
    <fill>
      <patternFill patternType="solid">
        <fgColor rgb="FF17CD4D"/>
      </patternFill>
    </fill>
    <fill>
      <patternFill patternType="solid">
        <fgColor rgb="FFF3F6FB"/>
      </patternFill>
    </fill>
    <fill>
      <patternFill patternType="solid">
        <fgColor rgb="FF172B4D"/>
      </patternFill>
    </fill>
    <fill>
      <patternFill patternType="solid">
        <fgColor rgb="FF0B2444"/>
      </patternFill>
    </fill>
    <fill>
      <patternFill patternType="solid">
        <fgColor rgb="FFFFFFFF"/>
      </patternFill>
    </fill>
    <fill>
      <patternFill patternType="solid">
        <fgColor rgb="FF0B2444"/>
      </patternFill>
    </fill>
    <fill>
      <patternFill patternType="solid">
        <fgColor rgb="FFFFFFFF"/>
      </patternFill>
    </fill>
    <fill>
      <patternFill patternType="solid">
        <fgColor rgb="FF071F3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0" borderId="0" xfId="0" applyFont="1"/>
    <xf numFmtId="3" fontId="7" fillId="0" borderId="0" xfId="0" applyNumberFormat="1" applyFont="1"/>
    <xf numFmtId="10" fontId="7" fillId="0" borderId="0" xfId="0" applyNumberFormat="1" applyFont="1"/>
    <xf numFmtId="0" fontId="5" fillId="3" borderId="0" xfId="0" applyFont="1" applyFill="1"/>
    <xf numFmtId="0" fontId="9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7" fillId="10" borderId="0" xfId="0" applyFont="1" applyFill="1"/>
    <xf numFmtId="3" fontId="7" fillId="10" borderId="0" xfId="0" applyNumberFormat="1" applyFont="1" applyFill="1"/>
    <xf numFmtId="165" fontId="7" fillId="10" borderId="0" xfId="0" applyNumberFormat="1" applyFont="1" applyFill="1"/>
    <xf numFmtId="0" fontId="7" fillId="7" borderId="0" xfId="0" applyFont="1" applyFill="1"/>
    <xf numFmtId="0" fontId="20" fillId="2" borderId="0" xfId="0" applyFont="1" applyFill="1"/>
    <xf numFmtId="0" fontId="21" fillId="10" borderId="0" xfId="0" applyFont="1" applyFill="1"/>
    <xf numFmtId="3" fontId="21" fillId="10" borderId="0" xfId="0" applyNumberFormat="1" applyFont="1" applyFill="1"/>
    <xf numFmtId="164" fontId="7" fillId="0" borderId="0" xfId="0" applyNumberFormat="1" applyFont="1"/>
    <xf numFmtId="0" fontId="22" fillId="11" borderId="0" xfId="0" applyFont="1" applyFill="1"/>
    <xf numFmtId="0" fontId="24" fillId="11" borderId="0" xfId="0" applyFont="1" applyFill="1"/>
    <xf numFmtId="0" fontId="25" fillId="12" borderId="0" xfId="0" applyFont="1" applyFill="1"/>
    <xf numFmtId="0" fontId="13" fillId="7" borderId="0" xfId="0" applyFont="1" applyFill="1" applyAlignment="1">
      <alignment vertical="center"/>
    </xf>
    <xf numFmtId="0" fontId="8" fillId="7" borderId="0" xfId="0" applyFont="1" applyFill="1"/>
    <xf numFmtId="0" fontId="14" fillId="10" borderId="0" xfId="0" applyFont="1" applyFill="1"/>
    <xf numFmtId="3" fontId="13" fillId="10" borderId="0" xfId="0" applyNumberFormat="1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5" fillId="10" borderId="0" xfId="0" applyFont="1" applyFill="1"/>
    <xf numFmtId="165" fontId="16" fillId="10" borderId="0" xfId="0" applyNumberFormat="1" applyFont="1" applyFill="1"/>
    <xf numFmtId="0" fontId="16" fillId="10" borderId="0" xfId="0" applyFont="1" applyFill="1"/>
    <xf numFmtId="164" fontId="17" fillId="10" borderId="0" xfId="0" applyNumberFormat="1" applyFont="1" applyFill="1"/>
    <xf numFmtId="0" fontId="17" fillId="10" borderId="0" xfId="0" applyFont="1" applyFill="1"/>
    <xf numFmtId="0" fontId="18" fillId="7" borderId="0" xfId="0" applyFont="1" applyFill="1"/>
    <xf numFmtId="0" fontId="2" fillId="7" borderId="0" xfId="0" applyFont="1" applyFill="1"/>
    <xf numFmtId="0" fontId="19" fillId="7" borderId="0" xfId="0" applyFont="1" applyFill="1"/>
    <xf numFmtId="0" fontId="15" fillId="7" borderId="0" xfId="0" applyFont="1" applyFill="1"/>
    <xf numFmtId="0" fontId="15" fillId="7" borderId="0" xfId="0" applyFont="1" applyFill="1" applyAlignment="1">
      <alignment wrapText="1"/>
    </xf>
    <xf numFmtId="0" fontId="11" fillId="11" borderId="0" xfId="0" applyFont="1" applyFill="1" applyAlignment="1">
      <alignment wrapText="1"/>
    </xf>
    <xf numFmtId="0" fontId="22" fillId="11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6" fillId="2" borderId="0" xfId="0" applyFont="1" applyFill="1"/>
    <xf numFmtId="0" fontId="10" fillId="0" borderId="0" xfId="0" applyFont="1"/>
    <xf numFmtId="0" fontId="7" fillId="0" borderId="0" xfId="0" applyFont="1" applyAlignment="1">
      <alignment wrapText="1"/>
    </xf>
    <xf numFmtId="0" fontId="5" fillId="0" borderId="0" xfId="0" applyFont="1"/>
    <xf numFmtId="0" fontId="8" fillId="0" borderId="0" xfId="0" applyFont="1"/>
    <xf numFmtId="0" fontId="12" fillId="12" borderId="0" xfId="0" applyFont="1" applyFill="1" applyAlignment="1">
      <alignment horizontal="center" vertical="center"/>
    </xf>
    <xf numFmtId="0" fontId="23" fillId="11" borderId="1" xfId="0" applyFont="1" applyFill="1" applyBorder="1" applyAlignment="1">
      <alignment horizontal="left" vertical="center"/>
    </xf>
    <xf numFmtId="0" fontId="26" fillId="13" borderId="1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2005</c:v>
          </c:tx>
          <c:spPr>
            <a:solidFill>
              <a:srgbClr val="B5CEE9"/>
            </a:solidFill>
          </c:spPr>
          <c:invertIfNegative val="1"/>
          <c:cat>
            <c:strRef>
              <c:f>Dashboard!$AI$3:$AI$7</c:f>
              <c:strCache>
                <c:ptCount val="1"/>
                <c:pt idx="0">
                  <c:v>DF - Distrito Federal</c:v>
                </c:pt>
              </c:strCache>
            </c:strRef>
          </c:cat>
          <c:val>
            <c:numRef>
              <c:f>Dashboard!$AJ$3:$AJ$7</c:f>
              <c:numCache>
                <c:formatCode>General</c:formatCode>
                <c:ptCount val="5"/>
                <c:pt idx="0">
                  <c:v>1176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01C-5240-A1E2-D52882C058FD}"/>
            </c:ext>
          </c:extLst>
        </c:ser>
        <c:ser>
          <c:idx val="1"/>
          <c:order val="1"/>
          <c:tx>
            <c:v>2015</c:v>
          </c:tx>
          <c:spPr>
            <a:solidFill>
              <a:srgbClr val="073C93"/>
            </a:solidFill>
          </c:spPr>
          <c:invertIfNegative val="1"/>
          <c:cat>
            <c:strRef>
              <c:f>Dashboard!$AI$3:$AI$7</c:f>
              <c:strCache>
                <c:ptCount val="1"/>
                <c:pt idx="0">
                  <c:v>DF - Distrito Federal</c:v>
                </c:pt>
              </c:strCache>
            </c:strRef>
          </c:cat>
          <c:val>
            <c:numRef>
              <c:f>Dashboard!$AK$3:$AK$7</c:f>
              <c:numCache>
                <c:formatCode>General</c:formatCode>
                <c:ptCount val="5"/>
                <c:pt idx="0">
                  <c:v>3801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01C-5240-A1E2-D52882C058FD}"/>
            </c:ext>
          </c:extLst>
        </c:ser>
        <c:ser>
          <c:idx val="2"/>
          <c:order val="2"/>
          <c:tx>
            <c:v>2025</c:v>
          </c:tx>
          <c:spPr>
            <a:solidFill>
              <a:srgbClr val="17CD4D"/>
            </a:solidFill>
          </c:spPr>
          <c:invertIfNegative val="1"/>
          <c:cat>
            <c:strRef>
              <c:f>Dashboard!$AI$3:$AI$7</c:f>
              <c:strCache>
                <c:ptCount val="1"/>
                <c:pt idx="0">
                  <c:v>DF - Distrito Federal</c:v>
                </c:pt>
              </c:strCache>
            </c:strRef>
          </c:cat>
          <c:val>
            <c:numRef>
              <c:f>Dashboard!$AL$3:$AL$7</c:f>
              <c:numCache>
                <c:formatCode>General</c:formatCode>
                <c:ptCount val="5"/>
                <c:pt idx="0">
                  <c:v>2920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A01C-5240-A1E2-D52882C0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Uni2005" displayName="ProUni2005" ref="B11:I180" totalsRowShown="0">
  <tableColumns count="8">
    <tableColumn id="1" xr3:uid="{00000000-0010-0000-0000-000001000000}" name="Ano"/>
    <tableColumn id="2" xr3:uid="{00000000-0010-0000-0000-000002000000}" name="Região"/>
    <tableColumn id="3" xr3:uid="{00000000-0010-0000-0000-000003000000}" name="UF"/>
    <tableColumn id="4" xr3:uid="{00000000-0010-0000-0000-000004000000}" name="Tipo de bolsa"/>
    <tableColumn id="5" xr3:uid="{00000000-0010-0000-0000-000005000000}" name="Modalidade"/>
    <tableColumn id="6" xr3:uid="{00000000-0010-0000-0000-000006000000}" name="Sexo"/>
    <tableColumn id="7" xr3:uid="{00000000-0010-0000-0000-000007000000}" name="Bolsas"/>
    <tableColumn id="8" xr3:uid="{00000000-0010-0000-0000-000008000000}" name="% do a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Uni2015" displayName="ProUni2015" ref="B11:I231" totalsRowShown="0">
  <tableColumns count="8">
    <tableColumn id="1" xr3:uid="{00000000-0010-0000-0100-000001000000}" name="Ano"/>
    <tableColumn id="2" xr3:uid="{00000000-0010-0000-0100-000002000000}" name="Região"/>
    <tableColumn id="3" xr3:uid="{00000000-0010-0000-0100-000003000000}" name="UF"/>
    <tableColumn id="4" xr3:uid="{00000000-0010-0000-0100-000004000000}" name="Tipo de bolsa"/>
    <tableColumn id="5" xr3:uid="{00000000-0010-0000-0100-000005000000}" name="Modalidade"/>
    <tableColumn id="6" xr3:uid="{00000000-0010-0000-0100-000006000000}" name="Sexo"/>
    <tableColumn id="7" xr3:uid="{00000000-0010-0000-0100-000007000000}" name="Bolsas"/>
    <tableColumn id="8" xr3:uid="{00000000-0010-0000-0100-000008000000}" name="% do a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Uni2025" displayName="ProUni2025" ref="B11:I226" totalsRowShown="0">
  <tableColumns count="8">
    <tableColumn id="1" xr3:uid="{00000000-0010-0000-0200-000001000000}" name="Ano"/>
    <tableColumn id="2" xr3:uid="{00000000-0010-0000-0200-000002000000}" name="Região"/>
    <tableColumn id="3" xr3:uid="{00000000-0010-0000-0200-000003000000}" name="UF"/>
    <tableColumn id="4" xr3:uid="{00000000-0010-0000-0200-000004000000}" name="Tipo de bolsa"/>
    <tableColumn id="5" xr3:uid="{00000000-0010-0000-0200-000005000000}" name="Modalidade"/>
    <tableColumn id="6" xr3:uid="{00000000-0010-0000-0200-000006000000}" name="Sexo"/>
    <tableColumn id="7" xr3:uid="{00000000-0010-0000-0200-000007000000}" name="Bolsas"/>
    <tableColumn id="8" xr3:uid="{00000000-0010-0000-0200-000008000000}" name="% do a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uniTratados" displayName="ProuniTratados" ref="B7:H611" totalsRowShown="0">
  <tableColumns count="7">
    <tableColumn id="1" xr3:uid="{00000000-0010-0000-0300-000001000000}" name="Ano"/>
    <tableColumn id="2" xr3:uid="{00000000-0010-0000-0300-000002000000}" name="Região"/>
    <tableColumn id="3" xr3:uid="{00000000-0010-0000-0300-000003000000}" name="UF"/>
    <tableColumn id="4" xr3:uid="{00000000-0010-0000-0300-000004000000}" name="Tipo de bolsa"/>
    <tableColumn id="5" xr3:uid="{00000000-0010-0000-0300-000005000000}" name="Modalidade"/>
    <tableColumn id="6" xr3:uid="{00000000-0010-0000-0300-000006000000}" name="Sexo"/>
    <tableColumn id="7" xr3:uid="{00000000-0010-0000-0300-000007000000}" name="Bols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Mais Consultoria">
      <a:dk1>
        <a:srgbClr val="0B2444"/>
      </a:dk1>
      <a:lt1>
        <a:srgbClr val="FFFFFF"/>
      </a:lt1>
      <a:dk2>
        <a:srgbClr val="0E2841"/>
      </a:dk2>
      <a:lt2>
        <a:srgbClr val="F3F6FB"/>
      </a:lt2>
      <a:accent1>
        <a:srgbClr val="073C93"/>
      </a:accent1>
      <a:accent2>
        <a:srgbClr val="17CD4D"/>
      </a:accent2>
      <a:accent3>
        <a:srgbClr val="3C74BA"/>
      </a:accent3>
      <a:accent4>
        <a:srgbClr val="A9C8ED"/>
      </a:accent4>
      <a:accent5>
        <a:srgbClr val="14A245"/>
      </a:accent5>
      <a:accent6>
        <a:srgbClr val="70819C"/>
      </a:accent6>
      <a:hlink>
        <a:srgbClr val="17CD4D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Mais Consultoria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9"/>
  <sheetViews>
    <sheetView tabSelected="1" workbookViewId="0">
      <pane ySplit="6" topLeftCell="A10" activePane="bottomLeft" state="frozen"/>
      <selection pane="bottomLeft" activeCell="B35" sqref="B35"/>
    </sheetView>
  </sheetViews>
  <sheetFormatPr baseColWidth="10" defaultColWidth="8.83203125" defaultRowHeight="14"/>
  <cols>
    <col min="1" max="1" width="3" customWidth="1"/>
    <col min="2" max="2" width="13" customWidth="1"/>
    <col min="3" max="4" width="12" customWidth="1"/>
    <col min="5" max="5" width="3" customWidth="1"/>
    <col min="6" max="10" width="10" customWidth="1"/>
    <col min="11" max="11" width="3" customWidth="1"/>
    <col min="12" max="16" width="10" customWidth="1"/>
    <col min="17" max="17" width="3" customWidth="1"/>
    <col min="18" max="22" width="10" customWidth="1"/>
    <col min="23" max="23" width="3" customWidth="1"/>
    <col min="27" max="38" width="4" customWidth="1"/>
  </cols>
  <sheetData>
    <row r="1" spans="1:38" ht="20" customHeight="1">
      <c r="A1" s="14"/>
      <c r="B1" s="55" t="e" vm="1">
        <v>#VALUE!</v>
      </c>
      <c r="C1" s="55"/>
      <c r="D1" s="5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38" ht="25" customHeight="1">
      <c r="A2" s="14"/>
      <c r="B2" s="55"/>
      <c r="C2" s="55"/>
      <c r="D2" s="55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AA2" s="28" t="s">
        <v>0</v>
      </c>
      <c r="AB2" s="28"/>
      <c r="AC2" s="28"/>
      <c r="AD2" s="28"/>
      <c r="AE2" s="28"/>
      <c r="AF2" s="28"/>
      <c r="AG2" s="28"/>
      <c r="AH2" s="28"/>
      <c r="AI2" s="28" t="s">
        <v>1</v>
      </c>
      <c r="AJ2" s="28">
        <v>2005</v>
      </c>
      <c r="AK2" s="28">
        <v>2015</v>
      </c>
      <c r="AL2" s="28">
        <v>2025</v>
      </c>
    </row>
    <row r="3" spans="1:38" ht="25" customHeight="1">
      <c r="A3" s="14"/>
      <c r="B3" s="55"/>
      <c r="C3" s="55"/>
      <c r="D3" s="55"/>
      <c r="E3" s="14"/>
      <c r="F3" s="29" t="s">
        <v>2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14"/>
      <c r="AA3" s="28" t="s">
        <v>3</v>
      </c>
      <c r="AB3" s="28"/>
      <c r="AC3" s="28"/>
      <c r="AD3" s="28"/>
      <c r="AE3" s="28"/>
      <c r="AF3" s="28"/>
      <c r="AG3" s="28"/>
      <c r="AH3" s="28"/>
      <c r="AI3" s="28" t="str">
        <f>IF($B$13&lt;&gt;"Todos os estados",IF(ROW()=3,$B$13,""),IF($B$35="Brasil",Cálculos!B19,IF(ROW()=3,$B$35,"")))</f>
        <v>DF - Distrito Federal</v>
      </c>
      <c r="AJ3" s="28">
        <f>IF($AI3="","",IF($B$13="Todos os estados",SUMIFS(Dados_Tratados!$H$8:$H$611,Dados_Tratados!$B$8:$B$611,AJ$2,Dados_Tratados!$C$8:$C$611,$AI3,Dados_Tratados!$E$8:$E$611,IF($B$39="Todas","*",$B$39),Dados_Tratados!$F$8:$F$611,IF($B$43="Todas","*",$B$43)),SUMIFS(Dados_Tratados!$H$8:$H$611,Dados_Tratados!$B$8:$B$611,AJ$2,Dados_Tratados!$D$8:$D$611,LEFT($B$13,2),Dados_Tratados!$E$8:$E$611,IF($B$39="Todas","*",$B$39),Dados_Tratados!$F$8:$F$611,IF($B$43="Todas","*",$B$43))))</f>
        <v>1176</v>
      </c>
      <c r="AK3" s="28">
        <f>IF($AI3="","",IF($B$13="Todos os estados",SUMIFS(Dados_Tratados!$H$8:$H$611,Dados_Tratados!$B$8:$B$611,AK$2,Dados_Tratados!$C$8:$C$611,$AI3,Dados_Tratados!$E$8:$E$611,IF($B$39="Todas","*",$B$39),Dados_Tratados!$F$8:$F$611,IF($B$43="Todas","*",$B$43)),SUMIFS(Dados_Tratados!$H$8:$H$611,Dados_Tratados!$B$8:$B$611,AK$2,Dados_Tratados!$D$8:$D$611,LEFT($B$13,2),Dados_Tratados!$E$8:$E$611,IF($B$39="Todas","*",$B$39),Dados_Tratados!$F$8:$F$611,IF($B$43="Todas","*",$B$43))))</f>
        <v>3801</v>
      </c>
      <c r="AL3" s="28">
        <f>IF($AI3="","",IF($B$13="Todos os estados",SUMIFS(Dados_Tratados!$H$8:$H$611,Dados_Tratados!$B$8:$B$611,AL$2,Dados_Tratados!$C$8:$C$611,$AI3,Dados_Tratados!$E$8:$E$611,IF($B$39="Todas","*",$B$39),Dados_Tratados!$F$8:$F$611,IF($B$43="Todas","*",$B$43)),SUMIFS(Dados_Tratados!$H$8:$H$611,Dados_Tratados!$B$8:$B$611,AL$2,Dados_Tratados!$D$8:$D$611,LEFT($B$13,2),Dados_Tratados!$E$8:$E$611,IF($B$39="Todas","*",$B$39),Dados_Tratados!$F$8:$F$611,IF($B$43="Todas","*",$B$43))))</f>
        <v>2920</v>
      </c>
    </row>
    <row r="4" spans="1:38" ht="20" customHeight="1">
      <c r="A4" s="14"/>
      <c r="B4" s="55"/>
      <c r="C4" s="55"/>
      <c r="D4" s="55"/>
      <c r="E4" s="14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14"/>
      <c r="AA4" s="28" t="s">
        <v>4</v>
      </c>
      <c r="AB4" s="28"/>
      <c r="AC4" s="28"/>
      <c r="AD4" s="28"/>
      <c r="AE4" s="28"/>
      <c r="AF4" s="28"/>
      <c r="AG4" s="28"/>
      <c r="AH4" s="28"/>
      <c r="AI4" s="28" t="str">
        <f>IF($B$13&lt;&gt;"Todos os estados",IF(ROW()=3,$B$13,""),IF($B$35="Brasil",Cálculos!B20,IF(ROW()=3,$B$35,"")))</f>
        <v/>
      </c>
      <c r="AJ4" s="28" t="str">
        <f>IF($AI4="","",IF($B$13="Todos os estados",SUMIFS(Dados_Tratados!$H$8:$H$611,Dados_Tratados!$B$8:$B$611,AJ$2,Dados_Tratados!$C$8:$C$611,$AI4,Dados_Tratados!$E$8:$E$611,IF($B$39="Todas","*",$B$39),Dados_Tratados!$F$8:$F$611,IF($B$43="Todas","*",$B$43)),SUMIFS(Dados_Tratados!$H$8:$H$611,Dados_Tratados!$B$8:$B$611,AJ$2,Dados_Tratados!$D$8:$D$611,LEFT($B$13,2),Dados_Tratados!$E$8:$E$611,IF($B$39="Todas","*",$B$39),Dados_Tratados!$F$8:$F$611,IF($B$43="Todas","*",$B$43))))</f>
        <v/>
      </c>
      <c r="AK4" s="28" t="str">
        <f>IF($AI4="","",IF($B$13="Todos os estados",SUMIFS(Dados_Tratados!$H$8:$H$611,Dados_Tratados!$B$8:$B$611,AK$2,Dados_Tratados!$C$8:$C$611,$AI4,Dados_Tratados!$E$8:$E$611,IF($B$39="Todas","*",$B$39),Dados_Tratados!$F$8:$F$611,IF($B$43="Todas","*",$B$43)),SUMIFS(Dados_Tratados!$H$8:$H$611,Dados_Tratados!$B$8:$B$611,AK$2,Dados_Tratados!$D$8:$D$611,LEFT($B$13,2),Dados_Tratados!$E$8:$E$611,IF($B$39="Todas","*",$B$39),Dados_Tratados!$F$8:$F$611,IF($B$43="Todas","*",$B$43))))</f>
        <v/>
      </c>
      <c r="AL4" s="28" t="str">
        <f>IF($AI4="","",IF($B$13="Todos os estados",SUMIFS(Dados_Tratados!$H$8:$H$611,Dados_Tratados!$B$8:$B$611,AL$2,Dados_Tratados!$C$8:$C$611,$AI4,Dados_Tratados!$E$8:$E$611,IF($B$39="Todas","*",$B$39),Dados_Tratados!$F$8:$F$611,IF($B$43="Todas","*",$B$43)),SUMIFS(Dados_Tratados!$H$8:$H$611,Dados_Tratados!$B$8:$B$611,AL$2,Dados_Tratados!$D$8:$D$611,LEFT($B$13,2),Dados_Tratados!$E$8:$E$611,IF($B$39="Todas","*",$B$39),Dados_Tratados!$F$8:$F$611,IF($B$43="Todas","*",$B$43))))</f>
        <v/>
      </c>
    </row>
    <row r="5" spans="1:38" ht="20" customHeight="1">
      <c r="A5" s="14"/>
      <c r="B5" s="55"/>
      <c r="C5" s="55"/>
      <c r="D5" s="55"/>
      <c r="E5" s="14"/>
      <c r="F5" s="30" t="s">
        <v>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14"/>
      <c r="AA5" s="28" t="s">
        <v>6</v>
      </c>
      <c r="AB5" s="28"/>
      <c r="AC5" s="28"/>
      <c r="AD5" s="28"/>
      <c r="AE5" s="28"/>
      <c r="AF5" s="28"/>
      <c r="AG5" s="28"/>
      <c r="AH5" s="28"/>
      <c r="AI5" s="28" t="str">
        <f>IF($B$13&lt;&gt;"Todos os estados",IF(ROW()=3,$B$13,""),IF($B$35="Brasil",Cálculos!B21,IF(ROW()=3,$B$35,"")))</f>
        <v/>
      </c>
      <c r="AJ5" s="28" t="str">
        <f>IF($AI5="","",IF($B$13="Todos os estados",SUMIFS(Dados_Tratados!$H$8:$H$611,Dados_Tratados!$B$8:$B$611,AJ$2,Dados_Tratados!$C$8:$C$611,$AI5,Dados_Tratados!$E$8:$E$611,IF($B$39="Todas","*",$B$39),Dados_Tratados!$F$8:$F$611,IF($B$43="Todas","*",$B$43)),SUMIFS(Dados_Tratados!$H$8:$H$611,Dados_Tratados!$B$8:$B$611,AJ$2,Dados_Tratados!$D$8:$D$611,LEFT($B$13,2),Dados_Tratados!$E$8:$E$611,IF($B$39="Todas","*",$B$39),Dados_Tratados!$F$8:$F$611,IF($B$43="Todas","*",$B$43))))</f>
        <v/>
      </c>
      <c r="AK5" s="28" t="str">
        <f>IF($AI5="","",IF($B$13="Todos os estados",SUMIFS(Dados_Tratados!$H$8:$H$611,Dados_Tratados!$B$8:$B$611,AK$2,Dados_Tratados!$C$8:$C$611,$AI5,Dados_Tratados!$E$8:$E$611,IF($B$39="Todas","*",$B$39),Dados_Tratados!$F$8:$F$611,IF($B$43="Todas","*",$B$43)),SUMIFS(Dados_Tratados!$H$8:$H$611,Dados_Tratados!$B$8:$B$611,AK$2,Dados_Tratados!$D$8:$D$611,LEFT($B$13,2),Dados_Tratados!$E$8:$E$611,IF($B$39="Todas","*",$B$39),Dados_Tratados!$F$8:$F$611,IF($B$43="Todas","*",$B$43))))</f>
        <v/>
      </c>
      <c r="AL5" s="28" t="str">
        <f>IF($AI5="","",IF($B$13="Todos os estados",SUMIFS(Dados_Tratados!$H$8:$H$611,Dados_Tratados!$B$8:$B$611,AL$2,Dados_Tratados!$C$8:$C$611,$AI5,Dados_Tratados!$E$8:$E$611,IF($B$39="Todas","*",$B$39),Dados_Tratados!$F$8:$F$611,IF($B$43="Todas","*",$B$43)),SUMIFS(Dados_Tratados!$H$8:$H$611,Dados_Tratados!$B$8:$B$611,AL$2,Dados_Tratados!$D$8:$D$611,LEFT($B$13,2),Dados_Tratados!$E$8:$E$611,IF($B$39="Todas","*",$B$39),Dados_Tratados!$F$8:$F$611,IF($B$43="Todas","*",$B$43))))</f>
        <v/>
      </c>
    </row>
    <row r="6" spans="1:38" ht="20" customHeight="1">
      <c r="A6" s="14"/>
      <c r="B6" s="55"/>
      <c r="C6" s="55"/>
      <c r="D6" s="5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AA6" s="28" t="s">
        <v>7</v>
      </c>
      <c r="AB6" s="28"/>
      <c r="AC6" s="28"/>
      <c r="AD6" s="28" t="s">
        <v>8</v>
      </c>
      <c r="AE6" s="28" t="s">
        <v>9</v>
      </c>
      <c r="AF6" s="28" t="s">
        <v>10</v>
      </c>
      <c r="AG6" s="28" t="s">
        <v>11</v>
      </c>
      <c r="AH6" s="28"/>
      <c r="AI6" s="28" t="str">
        <f>IF($B$13&lt;&gt;"Todos os estados",IF(ROW()=3,$B$13,""),IF($B$35="Brasil",Cálculos!B22,IF(ROW()=3,$B$35,"")))</f>
        <v/>
      </c>
      <c r="AJ6" s="28" t="str">
        <f>IF($AI6="","",IF($B$13="Todos os estados",SUMIFS(Dados_Tratados!$H$8:$H$611,Dados_Tratados!$B$8:$B$611,AJ$2,Dados_Tratados!$C$8:$C$611,$AI6,Dados_Tratados!$E$8:$E$611,IF($B$39="Todas","*",$B$39),Dados_Tratados!$F$8:$F$611,IF($B$43="Todas","*",$B$43)),SUMIFS(Dados_Tratados!$H$8:$H$611,Dados_Tratados!$B$8:$B$611,AJ$2,Dados_Tratados!$D$8:$D$611,LEFT($B$13,2),Dados_Tratados!$E$8:$E$611,IF($B$39="Todas","*",$B$39),Dados_Tratados!$F$8:$F$611,IF($B$43="Todas","*",$B$43))))</f>
        <v/>
      </c>
      <c r="AK6" s="28" t="str">
        <f>IF($AI6="","",IF($B$13="Todos os estados",SUMIFS(Dados_Tratados!$H$8:$H$611,Dados_Tratados!$B$8:$B$611,AK$2,Dados_Tratados!$C$8:$C$611,$AI6,Dados_Tratados!$E$8:$E$611,IF($B$39="Todas","*",$B$39),Dados_Tratados!$F$8:$F$611,IF($B$43="Todas","*",$B$43)),SUMIFS(Dados_Tratados!$H$8:$H$611,Dados_Tratados!$B$8:$B$611,AK$2,Dados_Tratados!$D$8:$D$611,LEFT($B$13,2),Dados_Tratados!$E$8:$E$611,IF($B$39="Todas","*",$B$39),Dados_Tratados!$F$8:$F$611,IF($B$43="Todas","*",$B$43))))</f>
        <v/>
      </c>
      <c r="AL6" s="28" t="str">
        <f>IF($AI6="","",IF($B$13="Todos os estados",SUMIFS(Dados_Tratados!$H$8:$H$611,Dados_Tratados!$B$8:$B$611,AL$2,Dados_Tratados!$C$8:$C$611,$AI6,Dados_Tratados!$E$8:$E$611,IF($B$39="Todas","*",$B$39),Dados_Tratados!$F$8:$F$611,IF($B$43="Todas","*",$B$43)),SUMIFS(Dados_Tratados!$H$8:$H$611,Dados_Tratados!$B$8:$B$611,AL$2,Dados_Tratados!$D$8:$D$611,LEFT($B$13,2),Dados_Tratados!$E$8:$E$611,IF($B$39="Todas","*",$B$39),Dados_Tratados!$F$8:$F$611,IF($B$43="Todas","*",$B$43))))</f>
        <v/>
      </c>
    </row>
    <row r="7" spans="1:38" ht="20" customHeight="1">
      <c r="A7" s="14"/>
      <c r="B7" s="56" t="s">
        <v>46</v>
      </c>
      <c r="C7" s="56"/>
      <c r="D7" s="56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AA7" s="28" t="s">
        <v>12</v>
      </c>
      <c r="AB7" s="28"/>
      <c r="AC7" s="28"/>
      <c r="AD7" s="28">
        <v>2005</v>
      </c>
      <c r="AE7" s="28">
        <f>IF(OR($B$39="Todas",$B$39="Integral"),IF($B$13="Todos os estados",SUMIFS(Dados_Tratados!$H$8:$H$611,Dados_Tratados!$B$8:$B$611,$AD7,Dados_Tratados!$C$8:$C$611,IF($B$35="Brasil","*",$B$35),Dados_Tratados!$E$8:$E$611,"Integral",Dados_Tratados!$F$8:$F$611,IF($B$43="Todas","*",$B$43)),SUMIFS(Dados_Tratados!$H$8:$H$611,Dados_Tratados!$B$8:$B$611,$AD7,Dados_Tratados!$D$8:$D$611,LEFT($B$13,2),Dados_Tratados!$E$8:$E$611,"Integral",Dados_Tratados!$F$8:$F$611,IF($B$43="Todas","*",$B$43))),0)</f>
        <v>1176</v>
      </c>
      <c r="AF7" s="28">
        <f>IF(OR($B$39="Todas",$B$39="Parcial"),IF($B$13="Todos os estados",SUMIFS(Dados_Tratados!$H$8:$H$611,Dados_Tratados!$B$8:$B$611,$AD7,Dados_Tratados!$C$8:$C$611,IF($B$35="Brasil","*",$B$35),Dados_Tratados!$E$8:$E$611,"Parcial",Dados_Tratados!$F$8:$F$611,IF($B$43="Todas","*",$B$43)),SUMIFS(Dados_Tratados!$H$8:$H$611,Dados_Tratados!$B$8:$B$611,$AD7,Dados_Tratados!$D$8:$D$611,LEFT($B$13,2),Dados_Tratados!$E$8:$E$611,"Parcial",Dados_Tratados!$F$8:$F$611,IF($B$43="Todas","*",$B$43))),0)</f>
        <v>0</v>
      </c>
      <c r="AG7" s="28">
        <f>SUM(AE7:AF7)</f>
        <v>1176</v>
      </c>
      <c r="AH7" s="28"/>
      <c r="AI7" s="28" t="str">
        <f>IF($B$13&lt;&gt;"Todos os estados",IF(ROW()=3,$B$13,""),IF($B$35="Brasil",Cálculos!B23,IF(ROW()=3,$B$35,"")))</f>
        <v/>
      </c>
      <c r="AJ7" s="28" t="str">
        <f>IF($AI7="","",IF($B$13="Todos os estados",SUMIFS(Dados_Tratados!$H$8:$H$611,Dados_Tratados!$B$8:$B$611,AJ$2,Dados_Tratados!$C$8:$C$611,$AI7,Dados_Tratados!$E$8:$E$611,IF($B$39="Todas","*",$B$39),Dados_Tratados!$F$8:$F$611,IF($B$43="Todas","*",$B$43)),SUMIFS(Dados_Tratados!$H$8:$H$611,Dados_Tratados!$B$8:$B$611,AJ$2,Dados_Tratados!$D$8:$D$611,LEFT($B$13,2),Dados_Tratados!$E$8:$E$611,IF($B$39="Todas","*",$B$39),Dados_Tratados!$F$8:$F$611,IF($B$43="Todas","*",$B$43))))</f>
        <v/>
      </c>
      <c r="AK7" s="28" t="str">
        <f>IF($AI7="","",IF($B$13="Todos os estados",SUMIFS(Dados_Tratados!$H$8:$H$611,Dados_Tratados!$B$8:$B$611,AK$2,Dados_Tratados!$C$8:$C$611,$AI7,Dados_Tratados!$E$8:$E$611,IF($B$39="Todas","*",$B$39),Dados_Tratados!$F$8:$F$611,IF($B$43="Todas","*",$B$43)),SUMIFS(Dados_Tratados!$H$8:$H$611,Dados_Tratados!$B$8:$B$611,AK$2,Dados_Tratados!$D$8:$D$611,LEFT($B$13,2),Dados_Tratados!$E$8:$E$611,IF($B$39="Todas","*",$B$39),Dados_Tratados!$F$8:$F$611,IF($B$43="Todas","*",$B$43))))</f>
        <v/>
      </c>
      <c r="AL7" s="28" t="str">
        <f>IF($AI7="","",IF($B$13="Todos os estados",SUMIFS(Dados_Tratados!$H$8:$H$611,Dados_Tratados!$B$8:$B$611,AL$2,Dados_Tratados!$C$8:$C$611,$AI7,Dados_Tratados!$E$8:$E$611,IF($B$39="Todas","*",$B$39),Dados_Tratados!$F$8:$F$611,IF($B$43="Todas","*",$B$43)),SUMIFS(Dados_Tratados!$H$8:$H$611,Dados_Tratados!$B$8:$B$611,AL$2,Dados_Tratados!$D$8:$D$611,LEFT($B$13,2),Dados_Tratados!$E$8:$E$611,IF($B$39="Todas","*",$B$39),Dados_Tratados!$F$8:$F$611,IF($B$43="Todas","*",$B$43))))</f>
        <v/>
      </c>
    </row>
    <row r="8" spans="1:38" ht="20" customHeight="1">
      <c r="A8" s="14"/>
      <c r="B8" s="56"/>
      <c r="C8" s="56"/>
      <c r="D8" s="56"/>
      <c r="E8" s="14"/>
      <c r="F8" s="17"/>
      <c r="G8" s="17"/>
      <c r="H8" s="17"/>
      <c r="I8" s="17"/>
      <c r="J8" s="17"/>
      <c r="K8" s="14"/>
      <c r="L8" s="17"/>
      <c r="M8" s="17"/>
      <c r="N8" s="17"/>
      <c r="O8" s="17"/>
      <c r="P8" s="17"/>
      <c r="Q8" s="14"/>
      <c r="R8" s="17"/>
      <c r="S8" s="17"/>
      <c r="T8" s="17"/>
      <c r="U8" s="17"/>
      <c r="V8" s="17"/>
      <c r="W8" s="14"/>
      <c r="AA8" s="28" t="s">
        <v>13</v>
      </c>
      <c r="AB8" s="28"/>
      <c r="AC8" s="28"/>
      <c r="AD8" s="28">
        <v>2015</v>
      </c>
      <c r="AE8" s="28">
        <f>IF(OR($B$39="Todas",$B$39="Integral"),IF($B$13="Todos os estados",SUMIFS(Dados_Tratados!$H$8:$H$611,Dados_Tratados!$B$8:$B$611,$AD8,Dados_Tratados!$C$8:$C$611,IF($B$35="Brasil","*",$B$35),Dados_Tratados!$E$8:$E$611,"Integral",Dados_Tratados!$F$8:$F$611,IF($B$43="Todas","*",$B$43)),SUMIFS(Dados_Tratados!$H$8:$H$611,Dados_Tratados!$B$8:$B$611,$AD8,Dados_Tratados!$D$8:$D$611,LEFT($B$13,2),Dados_Tratados!$E$8:$E$611,"Integral",Dados_Tratados!$F$8:$F$611,IF($B$43="Todas","*",$B$43))),0)</f>
        <v>3801</v>
      </c>
      <c r="AF8" s="28">
        <f>IF(OR($B$39="Todas",$B$39="Parcial"),IF($B$13="Todos os estados",SUMIFS(Dados_Tratados!$H$8:$H$611,Dados_Tratados!$B$8:$B$611,$AD8,Dados_Tratados!$C$8:$C$611,IF($B$35="Brasil","*",$B$35),Dados_Tratados!$E$8:$E$611,"Parcial",Dados_Tratados!$F$8:$F$611,IF($B$43="Todas","*",$B$43)),SUMIFS(Dados_Tratados!$H$8:$H$611,Dados_Tratados!$B$8:$B$611,$AD8,Dados_Tratados!$D$8:$D$611,LEFT($B$13,2),Dados_Tratados!$E$8:$E$611,"Parcial",Dados_Tratados!$F$8:$F$611,IF($B$43="Todas","*",$B$43))),0)</f>
        <v>0</v>
      </c>
      <c r="AG8" s="28">
        <f>SUM(AE8:AF8)</f>
        <v>3801</v>
      </c>
      <c r="AH8" s="28"/>
      <c r="AI8" s="28"/>
      <c r="AJ8" s="28"/>
      <c r="AK8" s="28"/>
      <c r="AL8" s="28"/>
    </row>
    <row r="9" spans="1:38" ht="20" customHeight="1">
      <c r="A9" s="14"/>
      <c r="B9" s="53">
        <v>2005</v>
      </c>
      <c r="C9" s="53"/>
      <c r="D9" s="53"/>
      <c r="E9" s="14"/>
      <c r="F9" s="31" t="s">
        <v>14</v>
      </c>
      <c r="G9" s="31"/>
      <c r="H9" s="31"/>
      <c r="I9" s="31"/>
      <c r="J9" s="31"/>
      <c r="K9" s="14"/>
      <c r="L9" s="31" t="s">
        <v>15</v>
      </c>
      <c r="M9" s="31"/>
      <c r="N9" s="31"/>
      <c r="O9" s="31"/>
      <c r="P9" s="31"/>
      <c r="Q9" s="14"/>
      <c r="R9" s="31" t="s">
        <v>16</v>
      </c>
      <c r="S9" s="31"/>
      <c r="T9" s="31"/>
      <c r="U9" s="31"/>
      <c r="V9" s="31"/>
      <c r="W9" s="14"/>
      <c r="AA9" s="28" t="s">
        <v>17</v>
      </c>
      <c r="AB9" s="28"/>
      <c r="AC9" s="28"/>
      <c r="AD9" s="28">
        <v>2025</v>
      </c>
      <c r="AE9" s="28">
        <f>IF(OR($B$39="Todas",$B$39="Integral"),IF($B$13="Todos os estados",SUMIFS(Dados_Tratados!$H$8:$H$611,Dados_Tratados!$B$8:$B$611,$AD9,Dados_Tratados!$C$8:$C$611,IF($B$35="Brasil","*",$B$35),Dados_Tratados!$E$8:$E$611,"Integral",Dados_Tratados!$F$8:$F$611,IF($B$43="Todas","*",$B$43)),SUMIFS(Dados_Tratados!$H$8:$H$611,Dados_Tratados!$B$8:$B$611,$AD9,Dados_Tratados!$D$8:$D$611,LEFT($B$13,2),Dados_Tratados!$E$8:$E$611,"Integral",Dados_Tratados!$F$8:$F$611,IF($B$43="Todas","*",$B$43))),0)</f>
        <v>2920</v>
      </c>
      <c r="AF9" s="28">
        <f>IF(OR($B$39="Todas",$B$39="Parcial"),IF($B$13="Todos os estados",SUMIFS(Dados_Tratados!$H$8:$H$611,Dados_Tratados!$B$8:$B$611,$AD9,Dados_Tratados!$C$8:$C$611,IF($B$35="Brasil","*",$B$35),Dados_Tratados!$E$8:$E$611,"Parcial",Dados_Tratados!$F$8:$F$611,IF($B$43="Todas","*",$B$43)),SUMIFS(Dados_Tratados!$H$8:$H$611,Dados_Tratados!$B$8:$B$611,$AD9,Dados_Tratados!$D$8:$D$611,LEFT($B$13,2),Dados_Tratados!$E$8:$E$611,"Parcial",Dados_Tratados!$F$8:$F$611,IF($B$43="Todas","*",$B$43))),0)</f>
        <v>0</v>
      </c>
      <c r="AG9" s="28">
        <f>SUM(AE9:AF9)</f>
        <v>2920</v>
      </c>
      <c r="AH9" s="28"/>
      <c r="AI9" s="28"/>
      <c r="AJ9" s="28"/>
      <c r="AK9" s="28"/>
      <c r="AL9" s="28"/>
    </row>
    <row r="10" spans="1:38" ht="22" customHeight="1">
      <c r="A10" s="14"/>
      <c r="B10" s="53"/>
      <c r="C10" s="53"/>
      <c r="D10" s="53"/>
      <c r="E10" s="14"/>
      <c r="F10" s="32">
        <f>SUMIF($AD$7:$AD$9,$B$47,$AG$7:$AG$9)</f>
        <v>1176</v>
      </c>
      <c r="G10" s="33"/>
      <c r="H10" s="33"/>
      <c r="I10" s="33"/>
      <c r="J10" s="33"/>
      <c r="K10" s="14"/>
      <c r="L10" s="32">
        <f>SUMIF($AD$7:$AD$9,$B$47,$AE$7:$AE$9)</f>
        <v>1176</v>
      </c>
      <c r="M10" s="33"/>
      <c r="N10" s="33"/>
      <c r="O10" s="33"/>
      <c r="P10" s="33"/>
      <c r="Q10" s="14"/>
      <c r="R10" s="32">
        <f>SUMIF($AD$7:$AD$9,$B$47,$AF$7:$AF$9)</f>
        <v>0</v>
      </c>
      <c r="S10" s="33"/>
      <c r="T10" s="33"/>
      <c r="U10" s="33"/>
      <c r="V10" s="33"/>
      <c r="W10" s="14"/>
      <c r="AA10" s="28" t="s">
        <v>18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ht="22" customHeight="1">
      <c r="A11" s="14"/>
      <c r="B11" s="54" t="s">
        <v>152</v>
      </c>
      <c r="C11" s="54"/>
      <c r="D11" s="54"/>
      <c r="E11" s="14"/>
      <c r="F11" s="32"/>
      <c r="G11" s="33"/>
      <c r="H11" s="33"/>
      <c r="I11" s="33"/>
      <c r="J11" s="33"/>
      <c r="K11" s="14"/>
      <c r="L11" s="32"/>
      <c r="M11" s="33"/>
      <c r="N11" s="33"/>
      <c r="O11" s="33"/>
      <c r="P11" s="33"/>
      <c r="Q11" s="14"/>
      <c r="R11" s="32"/>
      <c r="S11" s="33"/>
      <c r="T11" s="33"/>
      <c r="U11" s="33"/>
      <c r="V11" s="33"/>
      <c r="W11" s="14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1:38" ht="22" customHeight="1">
      <c r="A12" s="14"/>
      <c r="B12" s="54"/>
      <c r="C12" s="54"/>
      <c r="D12" s="54"/>
      <c r="E12" s="14"/>
      <c r="F12" s="33"/>
      <c r="G12" s="33"/>
      <c r="H12" s="33"/>
      <c r="I12" s="33"/>
      <c r="J12" s="33"/>
      <c r="K12" s="14"/>
      <c r="L12" s="33"/>
      <c r="M12" s="33"/>
      <c r="N12" s="33"/>
      <c r="O12" s="33"/>
      <c r="P12" s="33"/>
      <c r="Q12" s="14"/>
      <c r="R12" s="33"/>
      <c r="S12" s="33"/>
      <c r="T12" s="33"/>
      <c r="U12" s="33"/>
      <c r="V12" s="33"/>
      <c r="W12" s="14"/>
      <c r="AA12" s="28" t="s">
        <v>19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</row>
    <row r="13" spans="1:38" ht="22" customHeight="1">
      <c r="A13" s="14"/>
      <c r="B13" s="53" t="s">
        <v>17</v>
      </c>
      <c r="C13" s="53"/>
      <c r="D13" s="53"/>
      <c r="E13" s="14"/>
      <c r="F13" s="33"/>
      <c r="G13" s="33"/>
      <c r="H13" s="33"/>
      <c r="I13" s="33"/>
      <c r="J13" s="33"/>
      <c r="K13" s="14"/>
      <c r="L13" s="33"/>
      <c r="M13" s="33"/>
      <c r="N13" s="33"/>
      <c r="O13" s="33"/>
      <c r="P13" s="33"/>
      <c r="Q13" s="14"/>
      <c r="R13" s="33"/>
      <c r="S13" s="33"/>
      <c r="T13" s="33"/>
      <c r="U13" s="33"/>
      <c r="V13" s="33"/>
      <c r="W13" s="14"/>
      <c r="AA13" s="28" t="s">
        <v>20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8" ht="22" customHeight="1">
      <c r="A14" s="14"/>
      <c r="B14" s="53"/>
      <c r="C14" s="53"/>
      <c r="D14" s="53"/>
      <c r="E14" s="14"/>
      <c r="F14" s="34" t="str">
        <f>IF($B$13="Todos os estados",IF($B$35="Brasil","Brasil / região","Região: "&amp;$B$35),"UF: "&amp;$B$13)</f>
        <v>UF: DF - Distrito Federal</v>
      </c>
      <c r="G14" s="34"/>
      <c r="H14" s="34"/>
      <c r="I14" s="34"/>
      <c r="J14" s="34"/>
      <c r="K14" s="14"/>
      <c r="L14" s="34" t="s">
        <v>151</v>
      </c>
      <c r="M14" s="34"/>
      <c r="N14" s="34"/>
      <c r="O14" s="34"/>
      <c r="P14" s="34"/>
      <c r="Q14" s="14"/>
      <c r="R14" s="34" t="s">
        <v>21</v>
      </c>
      <c r="S14" s="34"/>
      <c r="T14" s="34"/>
      <c r="U14" s="34"/>
      <c r="V14" s="34"/>
      <c r="W14" s="14"/>
      <c r="AA14" s="28" t="s">
        <v>22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38" ht="20" customHeight="1">
      <c r="A15" s="14"/>
      <c r="B15" s="54" t="s">
        <v>24</v>
      </c>
      <c r="C15" s="54"/>
      <c r="D15" s="5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AA15" s="28" t="s">
        <v>23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</row>
    <row r="16" spans="1:38" ht="20" customHeight="1">
      <c r="A16" s="14"/>
      <c r="B16" s="54"/>
      <c r="C16" s="54"/>
      <c r="D16" s="54"/>
      <c r="E16" s="14"/>
      <c r="F16" s="31" t="s">
        <v>25</v>
      </c>
      <c r="G16" s="31"/>
      <c r="H16" s="31"/>
      <c r="I16" s="31"/>
      <c r="J16" s="31"/>
      <c r="K16" s="14"/>
      <c r="L16" s="31" t="s">
        <v>26</v>
      </c>
      <c r="M16" s="31"/>
      <c r="N16" s="31"/>
      <c r="O16" s="31"/>
      <c r="P16" s="31"/>
      <c r="Q16" s="14"/>
      <c r="R16" s="31" t="s">
        <v>27</v>
      </c>
      <c r="S16" s="31"/>
      <c r="T16" s="31"/>
      <c r="U16" s="31"/>
      <c r="V16" s="31"/>
      <c r="W16" s="14"/>
      <c r="AA16" s="28" t="s">
        <v>28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spans="1:38" ht="22" customHeight="1">
      <c r="A17" s="14"/>
      <c r="B17" s="53" t="s">
        <v>29</v>
      </c>
      <c r="C17" s="53"/>
      <c r="D17" s="53"/>
      <c r="E17" s="14"/>
      <c r="F17" s="35">
        <f>IFERROR($AG$9/$AG$7-1,0)</f>
        <v>1.4829931972789114</v>
      </c>
      <c r="G17" s="36"/>
      <c r="H17" s="36"/>
      <c r="I17" s="36"/>
      <c r="J17" s="36"/>
      <c r="K17" s="14"/>
      <c r="L17" s="35">
        <f>IFERROR($AG$9/$AG$8-1,0)</f>
        <v>-0.23178111023414893</v>
      </c>
      <c r="M17" s="36"/>
      <c r="N17" s="36"/>
      <c r="O17" s="36"/>
      <c r="P17" s="36"/>
      <c r="Q17" s="14"/>
      <c r="R17" s="37">
        <f>IFERROR(L10/F10,0)</f>
        <v>1</v>
      </c>
      <c r="S17" s="38"/>
      <c r="T17" s="38"/>
      <c r="U17" s="38"/>
      <c r="V17" s="38"/>
      <c r="W17" s="14"/>
      <c r="AA17" s="28" t="s">
        <v>30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1:38" ht="22" customHeight="1">
      <c r="A18" s="14"/>
      <c r="B18" s="53"/>
      <c r="C18" s="53"/>
      <c r="D18" s="53"/>
      <c r="E18" s="14"/>
      <c r="F18" s="36"/>
      <c r="G18" s="36"/>
      <c r="H18" s="36"/>
      <c r="I18" s="36"/>
      <c r="J18" s="36"/>
      <c r="K18" s="14"/>
      <c r="L18" s="36"/>
      <c r="M18" s="36"/>
      <c r="N18" s="36"/>
      <c r="O18" s="36"/>
      <c r="P18" s="36"/>
      <c r="Q18" s="14"/>
      <c r="R18" s="38"/>
      <c r="S18" s="38"/>
      <c r="T18" s="38"/>
      <c r="U18" s="38"/>
      <c r="V18" s="38"/>
      <c r="W18" s="14"/>
      <c r="AA18" s="28" t="s">
        <v>31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1:38" ht="20" customHeight="1">
      <c r="A19" s="14"/>
      <c r="B19" s="54" t="s">
        <v>33</v>
      </c>
      <c r="C19" s="54"/>
      <c r="D19" s="5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AA19" s="28" t="s">
        <v>32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 spans="1:38" ht="20" customHeight="1">
      <c r="A20" s="14"/>
      <c r="B20" s="54"/>
      <c r="C20" s="54"/>
      <c r="D20" s="54"/>
      <c r="E20" s="14"/>
      <c r="F20" s="39" t="str">
        <f>IF($B$13&lt;&gt;"Todos os estados","BOLSAS NO ESTADO  ·  COMPARAÇÃO 2005 / 2015 / 2025",IF($B$35="Brasil","BOLSAS POR REGIÃO  ·  COMPARAÇÃO 2005 / 2015 / 2025","BOLSAS NA REGIÃO  ·  COMPARAÇÃO 2005 / 2015 / 2025"))</f>
        <v>BOLSAS NO ESTADO  ·  COMPARAÇÃO 2005 / 2015 / 2025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14"/>
      <c r="AA20" s="28" t="s">
        <v>34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spans="1:38" ht="20" customHeight="1">
      <c r="A21" s="14"/>
      <c r="B21" s="54"/>
      <c r="C21" s="54"/>
      <c r="D21" s="54"/>
      <c r="E21" s="14"/>
      <c r="F21" s="40" t="str">
        <f>IF($B$13&lt;&gt;"Todos os estados","UF selecionada: "&amp;$B$13&amp;". A região não limita este recorte.","Compare os três anos e use o filtro de região para detalhar os resultados.")</f>
        <v>UF selecionada: DF - Distrito Federal. A região não limita este recorte.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14"/>
      <c r="AA21" s="28" t="s">
        <v>35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 spans="1:38" ht="22" customHeight="1">
      <c r="A22" s="14"/>
      <c r="B22" s="53" t="s">
        <v>9</v>
      </c>
      <c r="C22" s="53"/>
      <c r="D22" s="53"/>
      <c r="E22" s="14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4"/>
      <c r="AA22" s="28" t="s">
        <v>37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 spans="1:38" ht="22" customHeight="1">
      <c r="A23" s="14"/>
      <c r="B23" s="53"/>
      <c r="C23" s="53"/>
      <c r="D23" s="53"/>
      <c r="E23" s="14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4"/>
      <c r="AA23" s="28" t="s">
        <v>38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1:38" ht="20" customHeight="1">
      <c r="A24" s="14"/>
      <c r="B24" s="54" t="s">
        <v>40</v>
      </c>
      <c r="C24" s="54"/>
      <c r="D24" s="54"/>
      <c r="E24" s="1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4"/>
      <c r="AA24" s="28" t="s">
        <v>39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 spans="1:38" ht="20" customHeight="1">
      <c r="A25" s="14"/>
      <c r="B25" s="54"/>
      <c r="C25" s="54"/>
      <c r="D25" s="54"/>
      <c r="E25" s="14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4"/>
      <c r="AA25" s="28" t="s">
        <v>41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 spans="1:38" ht="20" customHeight="1">
      <c r="A26" s="14"/>
      <c r="B26" s="54"/>
      <c r="C26" s="54"/>
      <c r="D26" s="54"/>
      <c r="E26" s="14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4"/>
      <c r="AA26" s="28" t="s">
        <v>42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spans="1:38" ht="22" customHeight="1">
      <c r="A27" s="14"/>
      <c r="B27" s="53" t="s">
        <v>36</v>
      </c>
      <c r="C27" s="53"/>
      <c r="D27" s="53"/>
      <c r="E27" s="14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4"/>
      <c r="AA27" s="28" t="s">
        <v>43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 spans="1:38" ht="22" customHeight="1">
      <c r="A28" s="14"/>
      <c r="B28" s="53"/>
      <c r="C28" s="53"/>
      <c r="D28" s="53"/>
      <c r="E28" s="14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4"/>
      <c r="AA28" s="28" t="s">
        <v>44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 spans="1:38" ht="20" customHeight="1">
      <c r="A29" s="14"/>
      <c r="B29" s="26"/>
      <c r="C29" s="26"/>
      <c r="D29" s="26"/>
      <c r="E29" s="14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4"/>
      <c r="AA29" s="28" t="s">
        <v>45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1:38" ht="20" customHeight="1">
      <c r="A30" s="14"/>
      <c r="B30" s="26"/>
      <c r="C30" s="26"/>
      <c r="D30" s="26"/>
      <c r="E30" s="14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4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spans="1:38" ht="20" customHeight="1">
      <c r="A31" s="14"/>
      <c r="B31" s="26"/>
      <c r="C31" s="26"/>
      <c r="D31" s="26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4"/>
    </row>
    <row r="32" spans="1:38" ht="20" customHeight="1">
      <c r="A32" s="14"/>
      <c r="B32" s="26"/>
      <c r="C32" s="26"/>
      <c r="D32" s="26"/>
      <c r="E32" s="14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4"/>
    </row>
    <row r="33" spans="1:23" ht="22" customHeight="1">
      <c r="A33" s="14"/>
      <c r="B33" s="26"/>
      <c r="C33" s="26"/>
      <c r="D33" s="26"/>
      <c r="E33" s="14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4"/>
    </row>
    <row r="34" spans="1:23" ht="22" customHeight="1">
      <c r="A34" s="14"/>
      <c r="B34" s="26"/>
      <c r="C34" s="26"/>
      <c r="D34" s="26"/>
      <c r="E34" s="14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4"/>
    </row>
    <row r="35" spans="1:23" ht="20" customHeight="1">
      <c r="A35" s="14"/>
      <c r="B35" s="26"/>
      <c r="C35" s="26"/>
      <c r="D35" s="26"/>
      <c r="E35" s="14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4"/>
    </row>
    <row r="36" spans="1:23" ht="20" customHeight="1">
      <c r="A36" s="14"/>
      <c r="B36" s="26"/>
      <c r="C36" s="26"/>
      <c r="D36" s="26"/>
      <c r="E36" s="14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4"/>
    </row>
    <row r="37" spans="1:23" ht="20" customHeight="1">
      <c r="A37" s="14"/>
      <c r="B37" s="26"/>
      <c r="C37" s="26"/>
      <c r="D37" s="26"/>
      <c r="E37" s="14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4"/>
    </row>
    <row r="38" spans="1:23" ht="20" customHeight="1">
      <c r="A38" s="14"/>
      <c r="B38" s="26"/>
      <c r="C38" s="26"/>
      <c r="D38" s="26"/>
      <c r="E38" s="14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4"/>
    </row>
    <row r="39" spans="1:23" ht="20" customHeight="1">
      <c r="A39" s="14"/>
      <c r="B39" s="27" t="str">
        <f>B22</f>
        <v>Integral</v>
      </c>
      <c r="C39" s="26"/>
      <c r="D39" s="26"/>
      <c r="E39" s="14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4"/>
    </row>
    <row r="40" spans="1:23" ht="20" customHeight="1">
      <c r="A40" s="14"/>
      <c r="B40" s="26"/>
      <c r="C40" s="26"/>
      <c r="D40" s="26"/>
      <c r="E40" s="14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4"/>
    </row>
    <row r="41" spans="1:23" ht="20" customHeight="1">
      <c r="A41" s="14"/>
      <c r="B41" s="26"/>
      <c r="C41" s="26"/>
      <c r="D41" s="2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20" customHeight="1">
      <c r="A42" s="14"/>
      <c r="B42" s="26"/>
      <c r="C42" s="26"/>
      <c r="D42" s="26"/>
      <c r="E42" s="14"/>
      <c r="F42" s="41" t="s">
        <v>47</v>
      </c>
      <c r="G42" s="41"/>
      <c r="H42" s="41"/>
      <c r="I42" s="41"/>
      <c r="J42" s="41"/>
      <c r="K42" s="41"/>
      <c r="L42" s="41" t="s">
        <v>48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14"/>
    </row>
    <row r="43" spans="1:23" ht="20" customHeight="1">
      <c r="A43" s="14"/>
      <c r="B43" s="27" t="str">
        <f>B27</f>
        <v>Todas</v>
      </c>
      <c r="C43" s="26"/>
      <c r="D43" s="26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20" customHeight="1">
      <c r="A44" s="14"/>
      <c r="B44" s="26"/>
      <c r="C44" s="26"/>
      <c r="D44" s="26"/>
      <c r="E44" s="14"/>
      <c r="F44" s="22" t="s">
        <v>49</v>
      </c>
      <c r="G44" s="22" t="s">
        <v>50</v>
      </c>
      <c r="H44" s="22" t="s">
        <v>51</v>
      </c>
      <c r="I44" s="22" t="s">
        <v>52</v>
      </c>
      <c r="J44" s="14"/>
      <c r="K44" s="14"/>
      <c r="L44" s="5" t="s">
        <v>8</v>
      </c>
      <c r="M44" s="5" t="s">
        <v>11</v>
      </c>
      <c r="N44" s="5" t="s">
        <v>9</v>
      </c>
      <c r="O44" s="5" t="s">
        <v>10</v>
      </c>
      <c r="P44" s="14"/>
      <c r="Q44" s="14"/>
      <c r="R44" s="14"/>
      <c r="S44" s="14"/>
      <c r="T44" s="14"/>
      <c r="U44" s="14"/>
      <c r="V44" s="14"/>
      <c r="W44" s="14"/>
    </row>
    <row r="45" spans="1:23" ht="20" customHeight="1">
      <c r="A45" s="14"/>
      <c r="B45" s="26"/>
      <c r="C45" s="26"/>
      <c r="D45" s="26"/>
      <c r="E45" s="14"/>
      <c r="F45" s="18" t="str">
        <f>IF($AI$3="","",$AI$3)</f>
        <v>DF - Distrito Federal</v>
      </c>
      <c r="G45" s="19">
        <f>IF($AI$3="","",$AJ$3)</f>
        <v>1176</v>
      </c>
      <c r="H45" s="19">
        <f>IF($AI$3="","",$AL$3)</f>
        <v>2920</v>
      </c>
      <c r="I45" s="20">
        <f>IF($AI$3="","",IFERROR($AL$3/$AJ$3-1,0))</f>
        <v>1.4829931972789114</v>
      </c>
      <c r="J45" s="14"/>
      <c r="K45" s="14"/>
      <c r="L45" s="23">
        <f>$AD$7</f>
        <v>2005</v>
      </c>
      <c r="M45" s="24">
        <f>$AG$7</f>
        <v>1176</v>
      </c>
      <c r="N45" s="24">
        <f>$AE$7</f>
        <v>1176</v>
      </c>
      <c r="O45" s="24">
        <f>$AF$7</f>
        <v>0</v>
      </c>
      <c r="P45" s="14"/>
      <c r="Q45" s="14"/>
      <c r="R45" s="14"/>
      <c r="S45" s="14"/>
      <c r="T45" s="14"/>
      <c r="U45" s="14"/>
      <c r="V45" s="14"/>
      <c r="W45" s="14"/>
    </row>
    <row r="46" spans="1:23" ht="20" customHeight="1">
      <c r="A46" s="14"/>
      <c r="B46" s="26"/>
      <c r="C46" s="26"/>
      <c r="D46" s="26"/>
      <c r="E46" s="14"/>
      <c r="F46" s="21" t="str">
        <f>IF($AI$4="","",$AI$4)</f>
        <v/>
      </c>
      <c r="G46" s="21" t="str">
        <f t="shared" ref="G46:I46" si="0">IF($AI$4="","",$AI$4)</f>
        <v/>
      </c>
      <c r="H46" s="21" t="str">
        <f t="shared" si="0"/>
        <v/>
      </c>
      <c r="I46" s="21" t="str">
        <f t="shared" si="0"/>
        <v/>
      </c>
      <c r="J46" s="14"/>
      <c r="K46" s="14"/>
      <c r="L46" s="23">
        <f>$AD$8</f>
        <v>2015</v>
      </c>
      <c r="M46" s="24">
        <f>$AG$8</f>
        <v>3801</v>
      </c>
      <c r="N46" s="24">
        <f>$AE$8</f>
        <v>3801</v>
      </c>
      <c r="O46" s="24">
        <f>$AF$8</f>
        <v>0</v>
      </c>
      <c r="P46" s="14"/>
      <c r="Q46" s="14"/>
      <c r="R46" s="14"/>
      <c r="S46" s="14"/>
      <c r="T46" s="14"/>
      <c r="U46" s="14"/>
      <c r="V46" s="14"/>
      <c r="W46" s="14"/>
    </row>
    <row r="47" spans="1:23" ht="20" customHeight="1">
      <c r="A47" s="14"/>
      <c r="B47" s="27">
        <f>B9</f>
        <v>2005</v>
      </c>
      <c r="C47" s="26"/>
      <c r="D47" s="26"/>
      <c r="E47" s="14"/>
      <c r="F47" s="14"/>
      <c r="G47" s="14"/>
      <c r="H47" s="14"/>
      <c r="I47" s="14"/>
      <c r="J47" s="14"/>
      <c r="K47" s="14"/>
      <c r="L47" s="23">
        <f>$AD$9</f>
        <v>2025</v>
      </c>
      <c r="M47" s="24">
        <f>$AG$9</f>
        <v>2920</v>
      </c>
      <c r="N47" s="24">
        <f>$AE$9</f>
        <v>2920</v>
      </c>
      <c r="O47" s="24">
        <f>$AF$9</f>
        <v>0</v>
      </c>
      <c r="P47" s="14"/>
      <c r="Q47" s="14"/>
      <c r="R47" s="14"/>
      <c r="S47" s="14"/>
      <c r="T47" s="14"/>
      <c r="U47" s="14"/>
      <c r="V47" s="14"/>
      <c r="W47" s="14"/>
    </row>
    <row r="48" spans="1:23" ht="20" customHeight="1">
      <c r="A48" s="14"/>
      <c r="B48" s="26"/>
      <c r="C48" s="26"/>
      <c r="D48" s="26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20" customHeight="1">
      <c r="A49" s="14"/>
      <c r="B49" s="44" t="s">
        <v>53</v>
      </c>
      <c r="C49" s="44"/>
      <c r="D49" s="44"/>
      <c r="E49" s="14"/>
      <c r="F49" s="14"/>
      <c r="G49" s="14"/>
      <c r="H49" s="14"/>
      <c r="I49" s="14"/>
      <c r="J49" s="14"/>
      <c r="K49" s="14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14"/>
    </row>
    <row r="50" spans="1:23" ht="20" customHeight="1">
      <c r="A50" s="14"/>
      <c r="B50" s="44"/>
      <c r="C50" s="44"/>
      <c r="D50" s="4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20" customHeight="1">
      <c r="A51" s="14"/>
      <c r="B51" s="45" t="s">
        <v>54</v>
      </c>
      <c r="C51" s="45"/>
      <c r="D51" s="4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20" customHeight="1">
      <c r="A52" s="14"/>
      <c r="B52" s="45"/>
      <c r="C52" s="45"/>
      <c r="D52" s="4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20" customHeight="1">
      <c r="A53" s="14"/>
      <c r="B53" s="45"/>
      <c r="C53" s="45"/>
      <c r="D53" s="45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20" customHeight="1">
      <c r="A54" s="14"/>
      <c r="B54" s="16"/>
      <c r="C54" s="16"/>
      <c r="D54" s="1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20" customHeight="1">
      <c r="A55" s="14"/>
      <c r="B55" s="16"/>
      <c r="C55" s="16"/>
      <c r="D55" s="16"/>
      <c r="E55" s="14"/>
      <c r="F55" s="42" t="s">
        <v>153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14"/>
    </row>
    <row r="56" spans="1:23" ht="20" customHeight="1">
      <c r="A56" s="14"/>
      <c r="B56" s="16"/>
      <c r="C56" s="16"/>
      <c r="D56" s="16"/>
      <c r="E56" s="14"/>
      <c r="F56" s="43" t="s">
        <v>154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14"/>
    </row>
    <row r="57" spans="1:23" ht="20" customHeight="1">
      <c r="A57" s="14"/>
      <c r="B57" s="16"/>
      <c r="C57" s="16"/>
      <c r="D57" s="16"/>
      <c r="E57" s="14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14"/>
    </row>
    <row r="58" spans="1:23" ht="20" customHeight="1">
      <c r="A58" s="14"/>
      <c r="B58" s="16"/>
      <c r="C58" s="16"/>
      <c r="D58" s="1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20" customHeight="1">
      <c r="A59" s="14"/>
      <c r="B59" s="16"/>
      <c r="C59" s="16"/>
      <c r="D59" s="16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</sheetData>
  <mergeCells count="37">
    <mergeCell ref="B19:D21"/>
    <mergeCell ref="B24:D26"/>
    <mergeCell ref="B15:D16"/>
    <mergeCell ref="B11:D12"/>
    <mergeCell ref="B1:D6"/>
    <mergeCell ref="B7:D8"/>
    <mergeCell ref="F55:V55"/>
    <mergeCell ref="F56:V57"/>
    <mergeCell ref="B13:D14"/>
    <mergeCell ref="B17:D18"/>
    <mergeCell ref="B22:D23"/>
    <mergeCell ref="B27:D28"/>
    <mergeCell ref="B9:D10"/>
    <mergeCell ref="B49:D50"/>
    <mergeCell ref="B51:D53"/>
    <mergeCell ref="F20:V20"/>
    <mergeCell ref="F21:V21"/>
    <mergeCell ref="F42:K42"/>
    <mergeCell ref="L42:V42"/>
    <mergeCell ref="L49:V49"/>
    <mergeCell ref="F16:J16"/>
    <mergeCell ref="F17:J18"/>
    <mergeCell ref="L16:P16"/>
    <mergeCell ref="L17:P18"/>
    <mergeCell ref="R16:V16"/>
    <mergeCell ref="R17:V18"/>
    <mergeCell ref="F3:V4"/>
    <mergeCell ref="F5:V5"/>
    <mergeCell ref="F9:J9"/>
    <mergeCell ref="F10:J13"/>
    <mergeCell ref="F14:J14"/>
    <mergeCell ref="L9:P9"/>
    <mergeCell ref="L10:P13"/>
    <mergeCell ref="L14:P14"/>
    <mergeCell ref="R9:V9"/>
    <mergeCell ref="R10:V13"/>
    <mergeCell ref="R14:V14"/>
  </mergeCells>
  <dataValidations count="5">
    <dataValidation type="list" sqref="B17" xr:uid="{00000000-0002-0000-0000-000001000000}">
      <formula1>"Brasil,Norte,Nordeste,Centro-Oeste,Sudeste,Sul"</formula1>
    </dataValidation>
    <dataValidation type="list" sqref="B22" xr:uid="{00000000-0002-0000-0000-000002000000}">
      <formula1>"Todas,Integral,Parcial"</formula1>
    </dataValidation>
    <dataValidation type="list" sqref="B27" xr:uid="{00000000-0002-0000-0000-000003000000}">
      <formula1>"Todas,Presencial,EaD"</formula1>
    </dataValidation>
    <dataValidation type="list" sqref="B9" xr:uid="{00000000-0002-0000-0000-000004000000}">
      <formula1>"2005,2015,2025"</formula1>
    </dataValidation>
    <dataValidation type="list" sqref="B13" xr:uid="{00000000-0002-0000-0000-000000000000}">
      <formula1>$AA$2:$AA$29</formula1>
    </dataValidation>
  </dataValidations>
  <hyperlinks>
    <hyperlink ref="B18" location="'Base_2005'!B11" display="'Base_2005'!B11" xr:uid="{00000000-0004-0000-0000-000002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B19" sqref="B19:M19"/>
    </sheetView>
  </sheetViews>
  <sheetFormatPr baseColWidth="10" defaultColWidth="8.83203125" defaultRowHeight="14"/>
  <cols>
    <col min="1" max="1" width="4" customWidth="1"/>
    <col min="2" max="2" width="14" customWidth="1"/>
    <col min="3" max="5" width="15" customWidth="1"/>
    <col min="6" max="6" width="18" customWidth="1"/>
    <col min="7" max="7" width="19" customWidth="1"/>
    <col min="8" max="10" width="13" customWidth="1"/>
    <col min="11" max="11" width="15" customWidth="1"/>
    <col min="12" max="12" width="13" customWidth="1"/>
    <col min="13" max="13" width="19" customWidth="1"/>
  </cols>
  <sheetData>
    <row r="1" spans="1:13">
      <c r="A1" s="1"/>
      <c r="B1" s="46" t="s">
        <v>55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>
      <c r="A2" s="1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>
      <c r="B3" s="47" t="s">
        <v>56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>
      <c r="A4" s="2" t="s">
        <v>57</v>
      </c>
      <c r="B4" s="2"/>
      <c r="C4" s="2"/>
    </row>
    <row r="6" spans="1:13" ht="15">
      <c r="B6" s="55" t="e" vm="1">
        <v>#VALUE!</v>
      </c>
      <c r="C6" s="55"/>
      <c r="D6" s="55"/>
      <c r="G6" s="48" t="s">
        <v>58</v>
      </c>
      <c r="H6" s="48"/>
      <c r="I6" s="48"/>
      <c r="J6" s="48"/>
      <c r="K6" s="48"/>
      <c r="L6" s="48"/>
      <c r="M6" s="48"/>
    </row>
    <row r="7" spans="1:13" ht="14" customHeight="1">
      <c r="B7" s="55"/>
      <c r="C7" s="55"/>
      <c r="D7" s="55"/>
    </row>
    <row r="8" spans="1:13" ht="15">
      <c r="B8" s="55"/>
      <c r="C8" s="55"/>
      <c r="D8" s="55"/>
      <c r="G8" s="49" t="s">
        <v>59</v>
      </c>
      <c r="H8" s="49"/>
      <c r="I8" s="49"/>
      <c r="J8" s="49"/>
      <c r="K8" s="12"/>
      <c r="L8" s="12"/>
      <c r="M8" t="s">
        <v>60</v>
      </c>
    </row>
    <row r="9" spans="1:13" ht="15">
      <c r="B9" s="55"/>
      <c r="C9" s="55"/>
      <c r="D9" s="55"/>
      <c r="G9" s="49" t="s">
        <v>61</v>
      </c>
      <c r="H9" s="49"/>
      <c r="I9" s="49"/>
      <c r="J9" s="49"/>
      <c r="K9" s="1"/>
      <c r="L9" s="1"/>
      <c r="M9" t="s">
        <v>62</v>
      </c>
    </row>
    <row r="10" spans="1:13" ht="15">
      <c r="B10" s="55"/>
      <c r="C10" s="55"/>
      <c r="D10" s="55"/>
      <c r="G10" s="49" t="s">
        <v>63</v>
      </c>
      <c r="H10" s="49"/>
      <c r="I10" s="49"/>
      <c r="J10" s="49"/>
      <c r="K10" s="13"/>
      <c r="L10" s="13"/>
      <c r="M10" t="s">
        <v>64</v>
      </c>
    </row>
    <row r="11" spans="1:13" ht="15">
      <c r="B11" s="55"/>
      <c r="C11" s="55"/>
      <c r="D11" s="55"/>
      <c r="G11" s="49" t="s">
        <v>65</v>
      </c>
      <c r="H11" s="49"/>
      <c r="I11" s="49"/>
      <c r="J11" s="49"/>
      <c r="K11" s="14"/>
      <c r="L11" s="14"/>
      <c r="M11" t="s">
        <v>66</v>
      </c>
    </row>
    <row r="12" spans="1:13" ht="15">
      <c r="B12" s="55"/>
      <c r="C12" s="55"/>
      <c r="D12" s="55"/>
      <c r="G12" s="49" t="s">
        <v>67</v>
      </c>
      <c r="H12" s="49"/>
      <c r="I12" s="49"/>
      <c r="J12" s="49"/>
      <c r="K12" s="15"/>
      <c r="L12" s="15"/>
      <c r="M12" t="s">
        <v>68</v>
      </c>
    </row>
    <row r="13" spans="1:13">
      <c r="B13" s="55"/>
      <c r="C13" s="55"/>
      <c r="D13" s="55"/>
    </row>
    <row r="14" spans="1:13">
      <c r="B14" s="55"/>
      <c r="C14" s="55"/>
      <c r="D14" s="55"/>
    </row>
    <row r="15" spans="1:13">
      <c r="B15" s="55"/>
      <c r="C15" s="55"/>
      <c r="D15" s="55"/>
    </row>
    <row r="19" spans="2:13" ht="14" customHeight="1">
      <c r="B19" s="48" t="s">
        <v>69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1" spans="2:13" ht="36" customHeight="1">
      <c r="B21" s="50" t="s">
        <v>155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2:13" ht="29.25" customHeight="1">
      <c r="B22" s="50" t="s">
        <v>70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2:13" ht="29.25" customHeight="1">
      <c r="B23" s="50" t="s">
        <v>71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2:13" ht="29.25" customHeight="1">
      <c r="B24" s="50" t="s">
        <v>72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2:13" ht="29.25" customHeight="1">
      <c r="B25" s="50" t="s">
        <v>73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2:13" ht="36" customHeight="1">
      <c r="B26" s="50" t="s">
        <v>74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 spans="2:13" ht="29.25" customHeight="1">
      <c r="B27" s="50" t="s">
        <v>75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 spans="2:13" ht="29.25" customHeight="1">
      <c r="B28" s="50" t="s">
        <v>76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2:13" ht="29.25" customHeight="1">
      <c r="B29" s="50" t="s">
        <v>77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</sheetData>
  <mergeCells count="19">
    <mergeCell ref="B27:M27"/>
    <mergeCell ref="B28:M28"/>
    <mergeCell ref="B29:M29"/>
    <mergeCell ref="B22:M22"/>
    <mergeCell ref="B23:M23"/>
    <mergeCell ref="B24:M24"/>
    <mergeCell ref="B25:M25"/>
    <mergeCell ref="B26:M26"/>
    <mergeCell ref="G10:J10"/>
    <mergeCell ref="G11:J11"/>
    <mergeCell ref="G12:J12"/>
    <mergeCell ref="B19:M19"/>
    <mergeCell ref="B21:M21"/>
    <mergeCell ref="B6:D15"/>
    <mergeCell ref="B1:M2"/>
    <mergeCell ref="B3:M3"/>
    <mergeCell ref="G6:M6"/>
    <mergeCell ref="G8:J8"/>
    <mergeCell ref="G9:J9"/>
  </mergeCells>
  <hyperlinks>
    <hyperlink ref="A4" location="'Dashboard'!B11" display="← DASHBOARD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2"/>
  <sheetViews>
    <sheetView workbookViewId="0">
      <pane ySplit="11" topLeftCell="A12" activePane="bottomLeft" state="frozen"/>
      <selection pane="bottomLeft" activeCell="B1" sqref="B1:I2"/>
    </sheetView>
  </sheetViews>
  <sheetFormatPr baseColWidth="10" defaultColWidth="8.83203125" defaultRowHeight="14"/>
  <cols>
    <col min="1" max="1" width="4" customWidth="1"/>
    <col min="2" max="2" width="12" customWidth="1"/>
    <col min="3" max="3" width="20" customWidth="1"/>
    <col min="4" max="4" width="9" customWidth="1"/>
    <col min="5" max="5" width="19" customWidth="1"/>
    <col min="6" max="6" width="16" customWidth="1"/>
    <col min="7" max="8" width="17" customWidth="1"/>
    <col min="9" max="9" width="14" customWidth="1"/>
  </cols>
  <sheetData>
    <row r="1" spans="1:9">
      <c r="A1" s="1"/>
      <c r="B1" s="46" t="s">
        <v>78</v>
      </c>
      <c r="C1" s="46"/>
      <c r="D1" s="46"/>
      <c r="E1" s="46"/>
      <c r="F1" s="46"/>
      <c r="G1" s="46"/>
      <c r="H1" s="46"/>
      <c r="I1" s="46"/>
    </row>
    <row r="2" spans="1:9">
      <c r="A2" s="1"/>
      <c r="B2" s="46"/>
      <c r="C2" s="46"/>
      <c r="D2" s="46"/>
      <c r="E2" s="46"/>
      <c r="F2" s="46"/>
      <c r="G2" s="46"/>
      <c r="H2" s="46"/>
      <c r="I2" s="46"/>
    </row>
    <row r="3" spans="1:9">
      <c r="B3" s="47" t="s">
        <v>56</v>
      </c>
      <c r="C3" s="47"/>
      <c r="D3" s="47"/>
      <c r="E3" s="47"/>
      <c r="F3" s="47"/>
      <c r="G3" s="47"/>
      <c r="H3" s="47"/>
      <c r="I3" s="47"/>
    </row>
    <row r="4" spans="1:9">
      <c r="A4" s="2" t="s">
        <v>57</v>
      </c>
      <c r="B4" s="2"/>
      <c r="C4" s="2"/>
    </row>
    <row r="5" spans="1:9">
      <c r="B5" s="47" t="s">
        <v>79</v>
      </c>
      <c r="C5" s="47"/>
      <c r="D5" s="47"/>
      <c r="E5" s="47"/>
      <c r="F5" s="47"/>
      <c r="G5" s="47"/>
      <c r="H5" s="47"/>
      <c r="I5" s="47"/>
    </row>
    <row r="7" spans="1:9" ht="15">
      <c r="B7" s="51" t="s">
        <v>80</v>
      </c>
      <c r="C7" s="51"/>
      <c r="D7" s="4"/>
      <c r="E7" s="51" t="s">
        <v>81</v>
      </c>
      <c r="F7" s="51"/>
      <c r="G7" s="4"/>
      <c r="H7" s="51" t="s">
        <v>82</v>
      </c>
      <c r="I7" s="51"/>
    </row>
    <row r="8" spans="1:9" ht="19">
      <c r="B8" s="3">
        <v>95629</v>
      </c>
      <c r="C8" s="3"/>
      <c r="D8" s="3"/>
      <c r="E8" s="3">
        <v>67276</v>
      </c>
      <c r="F8" s="3"/>
      <c r="G8" s="3"/>
      <c r="H8" s="3">
        <v>28353</v>
      </c>
      <c r="I8" s="3"/>
    </row>
    <row r="11" spans="1:9" ht="29" customHeight="1">
      <c r="B11" s="6" t="s">
        <v>8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</row>
    <row r="12" spans="1:9">
      <c r="B12" s="7">
        <v>2005</v>
      </c>
      <c r="C12" s="7" t="s">
        <v>90</v>
      </c>
      <c r="D12" s="7" t="s">
        <v>91</v>
      </c>
      <c r="E12" s="7" t="s">
        <v>9</v>
      </c>
      <c r="F12" s="7" t="s">
        <v>92</v>
      </c>
      <c r="G12" s="7" t="s">
        <v>93</v>
      </c>
      <c r="H12" s="8">
        <v>2</v>
      </c>
      <c r="I12" s="9">
        <f t="shared" ref="I12:I43" si="0">IFERROR(H12/$B$8,0)</f>
        <v>2.0914157839149211E-5</v>
      </c>
    </row>
    <row r="13" spans="1:9">
      <c r="B13" s="7">
        <v>2005</v>
      </c>
      <c r="C13" s="7" t="s">
        <v>90</v>
      </c>
      <c r="D13" s="7" t="s">
        <v>91</v>
      </c>
      <c r="E13" s="7" t="s">
        <v>9</v>
      </c>
      <c r="F13" s="7" t="s">
        <v>94</v>
      </c>
      <c r="G13" s="7" t="s">
        <v>93</v>
      </c>
      <c r="H13" s="8">
        <v>45</v>
      </c>
      <c r="I13" s="9">
        <f t="shared" si="0"/>
        <v>4.705685513808573E-4</v>
      </c>
    </row>
    <row r="14" spans="1:9">
      <c r="B14" s="7">
        <v>2005</v>
      </c>
      <c r="C14" s="7" t="s">
        <v>90</v>
      </c>
      <c r="D14" s="7" t="s">
        <v>91</v>
      </c>
      <c r="E14" s="7" t="s">
        <v>9</v>
      </c>
      <c r="F14" s="7" t="s">
        <v>94</v>
      </c>
      <c r="G14" s="7" t="s">
        <v>95</v>
      </c>
      <c r="H14" s="8">
        <v>16</v>
      </c>
      <c r="I14" s="9">
        <f t="shared" si="0"/>
        <v>1.6731326271319369E-4</v>
      </c>
    </row>
    <row r="15" spans="1:9">
      <c r="B15" s="7">
        <v>2005</v>
      </c>
      <c r="C15" s="7" t="s">
        <v>90</v>
      </c>
      <c r="D15" s="7" t="s">
        <v>91</v>
      </c>
      <c r="E15" s="7" t="s">
        <v>10</v>
      </c>
      <c r="F15" s="7" t="s">
        <v>94</v>
      </c>
      <c r="G15" s="7" t="s">
        <v>93</v>
      </c>
      <c r="H15" s="8">
        <v>33</v>
      </c>
      <c r="I15" s="9">
        <f t="shared" si="0"/>
        <v>3.4508360434596199E-4</v>
      </c>
    </row>
    <row r="16" spans="1:9">
      <c r="B16" s="7">
        <v>2005</v>
      </c>
      <c r="C16" s="7" t="s">
        <v>90</v>
      </c>
      <c r="D16" s="7" t="s">
        <v>91</v>
      </c>
      <c r="E16" s="7" t="s">
        <v>10</v>
      </c>
      <c r="F16" s="7" t="s">
        <v>94</v>
      </c>
      <c r="G16" s="7" t="s">
        <v>95</v>
      </c>
      <c r="H16" s="8">
        <v>27</v>
      </c>
      <c r="I16" s="9">
        <f t="shared" si="0"/>
        <v>2.8234113082851439E-4</v>
      </c>
    </row>
    <row r="17" spans="2:9">
      <c r="B17" s="7">
        <v>2005</v>
      </c>
      <c r="C17" s="7" t="s">
        <v>90</v>
      </c>
      <c r="D17" s="7" t="s">
        <v>96</v>
      </c>
      <c r="E17" s="7" t="s">
        <v>9</v>
      </c>
      <c r="F17" s="7" t="s">
        <v>92</v>
      </c>
      <c r="G17" s="7" t="s">
        <v>93</v>
      </c>
      <c r="H17" s="8">
        <v>1</v>
      </c>
      <c r="I17" s="9">
        <f t="shared" si="0"/>
        <v>1.0457078919574606E-5</v>
      </c>
    </row>
    <row r="18" spans="2:9">
      <c r="B18" s="7">
        <v>2005</v>
      </c>
      <c r="C18" s="7" t="s">
        <v>90</v>
      </c>
      <c r="D18" s="7" t="s">
        <v>96</v>
      </c>
      <c r="E18" s="7" t="s">
        <v>9</v>
      </c>
      <c r="F18" s="7" t="s">
        <v>94</v>
      </c>
      <c r="G18" s="7" t="s">
        <v>93</v>
      </c>
      <c r="H18" s="8">
        <v>311</v>
      </c>
      <c r="I18" s="9">
        <f t="shared" si="0"/>
        <v>3.2521515439877025E-3</v>
      </c>
    </row>
    <row r="19" spans="2:9">
      <c r="B19" s="7">
        <v>2005</v>
      </c>
      <c r="C19" s="7" t="s">
        <v>90</v>
      </c>
      <c r="D19" s="7" t="s">
        <v>96</v>
      </c>
      <c r="E19" s="7" t="s">
        <v>9</v>
      </c>
      <c r="F19" s="7" t="s">
        <v>94</v>
      </c>
      <c r="G19" s="7" t="s">
        <v>95</v>
      </c>
      <c r="H19" s="8">
        <v>175</v>
      </c>
      <c r="I19" s="9">
        <f t="shared" si="0"/>
        <v>1.8299888109255561E-3</v>
      </c>
    </row>
    <row r="20" spans="2:9">
      <c r="B20" s="7">
        <v>2005</v>
      </c>
      <c r="C20" s="7" t="s">
        <v>90</v>
      </c>
      <c r="D20" s="7" t="s">
        <v>96</v>
      </c>
      <c r="E20" s="7" t="s">
        <v>10</v>
      </c>
      <c r="F20" s="7" t="s">
        <v>94</v>
      </c>
      <c r="G20" s="7" t="s">
        <v>93</v>
      </c>
      <c r="H20" s="8">
        <v>216</v>
      </c>
      <c r="I20" s="9">
        <f t="shared" si="0"/>
        <v>2.2587290466281151E-3</v>
      </c>
    </row>
    <row r="21" spans="2:9">
      <c r="B21" s="7">
        <v>2005</v>
      </c>
      <c r="C21" s="7" t="s">
        <v>90</v>
      </c>
      <c r="D21" s="7" t="s">
        <v>96</v>
      </c>
      <c r="E21" s="7" t="s">
        <v>10</v>
      </c>
      <c r="F21" s="7" t="s">
        <v>94</v>
      </c>
      <c r="G21" s="7" t="s">
        <v>95</v>
      </c>
      <c r="H21" s="8">
        <v>109</v>
      </c>
      <c r="I21" s="9">
        <f t="shared" si="0"/>
        <v>1.139821602233632E-3</v>
      </c>
    </row>
    <row r="22" spans="2:9">
      <c r="B22" s="7">
        <v>2005</v>
      </c>
      <c r="C22" s="7" t="s">
        <v>90</v>
      </c>
      <c r="D22" s="7" t="s">
        <v>97</v>
      </c>
      <c r="E22" s="7" t="s">
        <v>9</v>
      </c>
      <c r="F22" s="7" t="s">
        <v>94</v>
      </c>
      <c r="G22" s="7" t="s">
        <v>93</v>
      </c>
      <c r="H22" s="8">
        <v>117</v>
      </c>
      <c r="I22" s="9">
        <f t="shared" si="0"/>
        <v>1.2234782335902288E-3</v>
      </c>
    </row>
    <row r="23" spans="2:9">
      <c r="B23" s="7">
        <v>2005</v>
      </c>
      <c r="C23" s="7" t="s">
        <v>90</v>
      </c>
      <c r="D23" s="7" t="s">
        <v>97</v>
      </c>
      <c r="E23" s="7" t="s">
        <v>9</v>
      </c>
      <c r="F23" s="7" t="s">
        <v>94</v>
      </c>
      <c r="G23" s="7" t="s">
        <v>95</v>
      </c>
      <c r="H23" s="8">
        <v>90</v>
      </c>
      <c r="I23" s="9">
        <f t="shared" si="0"/>
        <v>9.411371027617146E-4</v>
      </c>
    </row>
    <row r="24" spans="2:9">
      <c r="B24" s="7">
        <v>2005</v>
      </c>
      <c r="C24" s="7" t="s">
        <v>90</v>
      </c>
      <c r="D24" s="7" t="s">
        <v>97</v>
      </c>
      <c r="E24" s="7" t="s">
        <v>10</v>
      </c>
      <c r="F24" s="7" t="s">
        <v>94</v>
      </c>
      <c r="G24" s="7" t="s">
        <v>93</v>
      </c>
      <c r="H24" s="8">
        <v>78</v>
      </c>
      <c r="I24" s="9">
        <f t="shared" si="0"/>
        <v>8.1565215572681929E-4</v>
      </c>
    </row>
    <row r="25" spans="2:9">
      <c r="B25" s="7">
        <v>2005</v>
      </c>
      <c r="C25" s="7" t="s">
        <v>90</v>
      </c>
      <c r="D25" s="7" t="s">
        <v>97</v>
      </c>
      <c r="E25" s="7" t="s">
        <v>10</v>
      </c>
      <c r="F25" s="7" t="s">
        <v>94</v>
      </c>
      <c r="G25" s="7" t="s">
        <v>95</v>
      </c>
      <c r="H25" s="8">
        <v>61</v>
      </c>
      <c r="I25" s="9">
        <f t="shared" si="0"/>
        <v>6.3788181409405093E-4</v>
      </c>
    </row>
    <row r="26" spans="2:9">
      <c r="B26" s="7">
        <v>2005</v>
      </c>
      <c r="C26" s="7" t="s">
        <v>90</v>
      </c>
      <c r="D26" s="7" t="s">
        <v>98</v>
      </c>
      <c r="E26" s="7" t="s">
        <v>9</v>
      </c>
      <c r="F26" s="7" t="s">
        <v>92</v>
      </c>
      <c r="G26" s="7" t="s">
        <v>93</v>
      </c>
      <c r="H26" s="8">
        <v>55</v>
      </c>
      <c r="I26" s="9">
        <f t="shared" si="0"/>
        <v>5.7513934057660328E-4</v>
      </c>
    </row>
    <row r="27" spans="2:9">
      <c r="B27" s="7">
        <v>2005</v>
      </c>
      <c r="C27" s="7" t="s">
        <v>90</v>
      </c>
      <c r="D27" s="7" t="s">
        <v>98</v>
      </c>
      <c r="E27" s="7" t="s">
        <v>9</v>
      </c>
      <c r="F27" s="7" t="s">
        <v>92</v>
      </c>
      <c r="G27" s="7" t="s">
        <v>95</v>
      </c>
      <c r="H27" s="8">
        <v>38</v>
      </c>
      <c r="I27" s="9">
        <f t="shared" si="0"/>
        <v>3.9736899894383503E-4</v>
      </c>
    </row>
    <row r="28" spans="2:9">
      <c r="B28" s="7">
        <v>2005</v>
      </c>
      <c r="C28" s="7" t="s">
        <v>90</v>
      </c>
      <c r="D28" s="7" t="s">
        <v>98</v>
      </c>
      <c r="E28" s="7" t="s">
        <v>9</v>
      </c>
      <c r="F28" s="7" t="s">
        <v>94</v>
      </c>
      <c r="G28" s="7" t="s">
        <v>93</v>
      </c>
      <c r="H28" s="8">
        <v>573</v>
      </c>
      <c r="I28" s="9">
        <f t="shared" si="0"/>
        <v>5.9919062209162497E-3</v>
      </c>
    </row>
    <row r="29" spans="2:9">
      <c r="B29" s="7">
        <v>2005</v>
      </c>
      <c r="C29" s="7" t="s">
        <v>90</v>
      </c>
      <c r="D29" s="7" t="s">
        <v>98</v>
      </c>
      <c r="E29" s="7" t="s">
        <v>9</v>
      </c>
      <c r="F29" s="7" t="s">
        <v>94</v>
      </c>
      <c r="G29" s="7" t="s">
        <v>95</v>
      </c>
      <c r="H29" s="8">
        <v>400</v>
      </c>
      <c r="I29" s="9">
        <f t="shared" si="0"/>
        <v>4.1828315678298427E-3</v>
      </c>
    </row>
    <row r="30" spans="2:9">
      <c r="B30" s="7">
        <v>2005</v>
      </c>
      <c r="C30" s="7" t="s">
        <v>90</v>
      </c>
      <c r="D30" s="7" t="s">
        <v>98</v>
      </c>
      <c r="E30" s="7" t="s">
        <v>10</v>
      </c>
      <c r="F30" s="7" t="s">
        <v>92</v>
      </c>
      <c r="G30" s="7" t="s">
        <v>93</v>
      </c>
      <c r="H30" s="8">
        <v>9</v>
      </c>
      <c r="I30" s="9">
        <f t="shared" si="0"/>
        <v>9.4113710276171454E-5</v>
      </c>
    </row>
    <row r="31" spans="2:9">
      <c r="B31" s="7">
        <v>2005</v>
      </c>
      <c r="C31" s="7" t="s">
        <v>90</v>
      </c>
      <c r="D31" s="7" t="s">
        <v>98</v>
      </c>
      <c r="E31" s="7" t="s">
        <v>10</v>
      </c>
      <c r="F31" s="7" t="s">
        <v>92</v>
      </c>
      <c r="G31" s="7" t="s">
        <v>95</v>
      </c>
      <c r="H31" s="8">
        <v>11</v>
      </c>
      <c r="I31" s="9">
        <f t="shared" si="0"/>
        <v>1.1502786811532067E-4</v>
      </c>
    </row>
    <row r="32" spans="2:9">
      <c r="B32" s="7">
        <v>2005</v>
      </c>
      <c r="C32" s="7" t="s">
        <v>90</v>
      </c>
      <c r="D32" s="7" t="s">
        <v>98</v>
      </c>
      <c r="E32" s="7" t="s">
        <v>10</v>
      </c>
      <c r="F32" s="7" t="s">
        <v>94</v>
      </c>
      <c r="G32" s="7" t="s">
        <v>93</v>
      </c>
      <c r="H32" s="8">
        <v>392</v>
      </c>
      <c r="I32" s="9">
        <f t="shared" si="0"/>
        <v>4.0991749364732459E-3</v>
      </c>
    </row>
    <row r="33" spans="2:9">
      <c r="B33" s="7">
        <v>2005</v>
      </c>
      <c r="C33" s="7" t="s">
        <v>90</v>
      </c>
      <c r="D33" s="7" t="s">
        <v>98</v>
      </c>
      <c r="E33" s="7" t="s">
        <v>10</v>
      </c>
      <c r="F33" s="7" t="s">
        <v>94</v>
      </c>
      <c r="G33" s="7" t="s">
        <v>95</v>
      </c>
      <c r="H33" s="8">
        <v>318</v>
      </c>
      <c r="I33" s="9">
        <f t="shared" si="0"/>
        <v>3.3253510964247248E-3</v>
      </c>
    </row>
    <row r="34" spans="2:9">
      <c r="B34" s="7">
        <v>2005</v>
      </c>
      <c r="C34" s="7" t="s">
        <v>90</v>
      </c>
      <c r="D34" s="7" t="s">
        <v>99</v>
      </c>
      <c r="E34" s="7" t="s">
        <v>9</v>
      </c>
      <c r="F34" s="7" t="s">
        <v>92</v>
      </c>
      <c r="G34" s="7" t="s">
        <v>93</v>
      </c>
      <c r="H34" s="8">
        <v>14</v>
      </c>
      <c r="I34" s="9">
        <f t="shared" si="0"/>
        <v>1.4639910487404447E-4</v>
      </c>
    </row>
    <row r="35" spans="2:9">
      <c r="B35" s="7">
        <v>2005</v>
      </c>
      <c r="C35" s="7" t="s">
        <v>90</v>
      </c>
      <c r="D35" s="7" t="s">
        <v>99</v>
      </c>
      <c r="E35" s="7" t="s">
        <v>9</v>
      </c>
      <c r="F35" s="7" t="s">
        <v>92</v>
      </c>
      <c r="G35" s="7" t="s">
        <v>95</v>
      </c>
      <c r="H35" s="8">
        <v>3</v>
      </c>
      <c r="I35" s="9">
        <f t="shared" si="0"/>
        <v>3.137123675872382E-5</v>
      </c>
    </row>
    <row r="36" spans="2:9">
      <c r="B36" s="7">
        <v>2005</v>
      </c>
      <c r="C36" s="7" t="s">
        <v>90</v>
      </c>
      <c r="D36" s="7" t="s">
        <v>99</v>
      </c>
      <c r="E36" s="7" t="s">
        <v>9</v>
      </c>
      <c r="F36" s="7" t="s">
        <v>94</v>
      </c>
      <c r="G36" s="7" t="s">
        <v>93</v>
      </c>
      <c r="H36" s="8">
        <v>354</v>
      </c>
      <c r="I36" s="9">
        <f t="shared" si="0"/>
        <v>3.7018059375294107E-3</v>
      </c>
    </row>
    <row r="37" spans="2:9">
      <c r="B37" s="7">
        <v>2005</v>
      </c>
      <c r="C37" s="7" t="s">
        <v>90</v>
      </c>
      <c r="D37" s="7" t="s">
        <v>99</v>
      </c>
      <c r="E37" s="7" t="s">
        <v>9</v>
      </c>
      <c r="F37" s="7" t="s">
        <v>94</v>
      </c>
      <c r="G37" s="7" t="s">
        <v>95</v>
      </c>
      <c r="H37" s="8">
        <v>236</v>
      </c>
      <c r="I37" s="9">
        <f t="shared" si="0"/>
        <v>2.4678706250196069E-3</v>
      </c>
    </row>
    <row r="38" spans="2:9">
      <c r="B38" s="7">
        <v>2005</v>
      </c>
      <c r="C38" s="7" t="s">
        <v>90</v>
      </c>
      <c r="D38" s="7" t="s">
        <v>99</v>
      </c>
      <c r="E38" s="7" t="s">
        <v>10</v>
      </c>
      <c r="F38" s="7" t="s">
        <v>94</v>
      </c>
      <c r="G38" s="7" t="s">
        <v>93</v>
      </c>
      <c r="H38" s="8">
        <v>234</v>
      </c>
      <c r="I38" s="9">
        <f t="shared" si="0"/>
        <v>2.4469564671804576E-3</v>
      </c>
    </row>
    <row r="39" spans="2:9">
      <c r="B39" s="7">
        <v>2005</v>
      </c>
      <c r="C39" s="7" t="s">
        <v>90</v>
      </c>
      <c r="D39" s="7" t="s">
        <v>99</v>
      </c>
      <c r="E39" s="7" t="s">
        <v>10</v>
      </c>
      <c r="F39" s="7" t="s">
        <v>94</v>
      </c>
      <c r="G39" s="7" t="s">
        <v>95</v>
      </c>
      <c r="H39" s="8">
        <v>114</v>
      </c>
      <c r="I39" s="9">
        <f t="shared" si="0"/>
        <v>1.192106996831505E-3</v>
      </c>
    </row>
    <row r="40" spans="2:9">
      <c r="B40" s="7">
        <v>2005</v>
      </c>
      <c r="C40" s="7" t="s">
        <v>90</v>
      </c>
      <c r="D40" s="7" t="s">
        <v>100</v>
      </c>
      <c r="E40" s="7" t="s">
        <v>9</v>
      </c>
      <c r="F40" s="7" t="s">
        <v>94</v>
      </c>
      <c r="G40" s="7" t="s">
        <v>93</v>
      </c>
      <c r="H40" s="8">
        <v>102</v>
      </c>
      <c r="I40" s="9">
        <f t="shared" si="0"/>
        <v>1.0666220497966099E-3</v>
      </c>
    </row>
    <row r="41" spans="2:9">
      <c r="B41" s="7">
        <v>2005</v>
      </c>
      <c r="C41" s="7" t="s">
        <v>90</v>
      </c>
      <c r="D41" s="7" t="s">
        <v>100</v>
      </c>
      <c r="E41" s="7" t="s">
        <v>9</v>
      </c>
      <c r="F41" s="7" t="s">
        <v>94</v>
      </c>
      <c r="G41" s="7" t="s">
        <v>95</v>
      </c>
      <c r="H41" s="8">
        <v>63</v>
      </c>
      <c r="I41" s="9">
        <f t="shared" si="0"/>
        <v>6.5879597193320015E-4</v>
      </c>
    </row>
    <row r="42" spans="2:9">
      <c r="B42" s="7">
        <v>2005</v>
      </c>
      <c r="C42" s="7" t="s">
        <v>90</v>
      </c>
      <c r="D42" s="7" t="s">
        <v>100</v>
      </c>
      <c r="E42" s="7" t="s">
        <v>10</v>
      </c>
      <c r="F42" s="7" t="s">
        <v>94</v>
      </c>
      <c r="G42" s="7" t="s">
        <v>93</v>
      </c>
      <c r="H42" s="8">
        <v>27</v>
      </c>
      <c r="I42" s="9">
        <f t="shared" si="0"/>
        <v>2.8234113082851439E-4</v>
      </c>
    </row>
    <row r="43" spans="2:9">
      <c r="B43" s="7">
        <v>2005</v>
      </c>
      <c r="C43" s="7" t="s">
        <v>90</v>
      </c>
      <c r="D43" s="7" t="s">
        <v>100</v>
      </c>
      <c r="E43" s="7" t="s">
        <v>10</v>
      </c>
      <c r="F43" s="7" t="s">
        <v>94</v>
      </c>
      <c r="G43" s="7" t="s">
        <v>95</v>
      </c>
      <c r="H43" s="8">
        <v>21</v>
      </c>
      <c r="I43" s="9">
        <f t="shared" si="0"/>
        <v>2.1959865731106674E-4</v>
      </c>
    </row>
    <row r="44" spans="2:9">
      <c r="B44" s="7">
        <v>2005</v>
      </c>
      <c r="C44" s="7" t="s">
        <v>90</v>
      </c>
      <c r="D44" s="7" t="s">
        <v>101</v>
      </c>
      <c r="E44" s="7" t="s">
        <v>9</v>
      </c>
      <c r="F44" s="7" t="s">
        <v>92</v>
      </c>
      <c r="G44" s="7" t="s">
        <v>93</v>
      </c>
      <c r="H44" s="8">
        <v>4</v>
      </c>
      <c r="I44" s="9">
        <f t="shared" ref="I44:I75" si="1">IFERROR(H44/$B$8,0)</f>
        <v>4.1828315678298423E-5</v>
      </c>
    </row>
    <row r="45" spans="2:9">
      <c r="B45" s="7">
        <v>2005</v>
      </c>
      <c r="C45" s="7" t="s">
        <v>90</v>
      </c>
      <c r="D45" s="7" t="s">
        <v>101</v>
      </c>
      <c r="E45" s="7" t="s">
        <v>9</v>
      </c>
      <c r="F45" s="7" t="s">
        <v>94</v>
      </c>
      <c r="G45" s="7" t="s">
        <v>93</v>
      </c>
      <c r="H45" s="8">
        <v>140</v>
      </c>
      <c r="I45" s="9">
        <f t="shared" si="1"/>
        <v>1.4639910487404448E-3</v>
      </c>
    </row>
    <row r="46" spans="2:9">
      <c r="B46" s="7">
        <v>2005</v>
      </c>
      <c r="C46" s="7" t="s">
        <v>90</v>
      </c>
      <c r="D46" s="7" t="s">
        <v>101</v>
      </c>
      <c r="E46" s="7" t="s">
        <v>9</v>
      </c>
      <c r="F46" s="7" t="s">
        <v>94</v>
      </c>
      <c r="G46" s="7" t="s">
        <v>95</v>
      </c>
      <c r="H46" s="8">
        <v>108</v>
      </c>
      <c r="I46" s="9">
        <f t="shared" si="1"/>
        <v>1.1293645233140576E-3</v>
      </c>
    </row>
    <row r="47" spans="2:9">
      <c r="B47" s="7">
        <v>2005</v>
      </c>
      <c r="C47" s="7" t="s">
        <v>90</v>
      </c>
      <c r="D47" s="7" t="s">
        <v>101</v>
      </c>
      <c r="E47" s="7" t="s">
        <v>10</v>
      </c>
      <c r="F47" s="7" t="s">
        <v>94</v>
      </c>
      <c r="G47" s="7" t="s">
        <v>93</v>
      </c>
      <c r="H47" s="8">
        <v>24</v>
      </c>
      <c r="I47" s="9">
        <f t="shared" si="1"/>
        <v>2.5096989406979056E-4</v>
      </c>
    </row>
    <row r="48" spans="2:9">
      <c r="B48" s="7">
        <v>2005</v>
      </c>
      <c r="C48" s="7" t="s">
        <v>90</v>
      </c>
      <c r="D48" s="7" t="s">
        <v>101</v>
      </c>
      <c r="E48" s="7" t="s">
        <v>10</v>
      </c>
      <c r="F48" s="7" t="s">
        <v>94</v>
      </c>
      <c r="G48" s="7" t="s">
        <v>95</v>
      </c>
      <c r="H48" s="8">
        <v>24</v>
      </c>
      <c r="I48" s="9">
        <f t="shared" si="1"/>
        <v>2.5096989406979056E-4</v>
      </c>
    </row>
    <row r="49" spans="2:9">
      <c r="B49" s="7">
        <v>2005</v>
      </c>
      <c r="C49" s="7" t="s">
        <v>102</v>
      </c>
      <c r="D49" s="7" t="s">
        <v>103</v>
      </c>
      <c r="E49" s="7" t="s">
        <v>9</v>
      </c>
      <c r="F49" s="7" t="s">
        <v>92</v>
      </c>
      <c r="G49" s="7" t="s">
        <v>93</v>
      </c>
      <c r="H49" s="8">
        <v>2</v>
      </c>
      <c r="I49" s="9">
        <f t="shared" si="1"/>
        <v>2.0914157839149211E-5</v>
      </c>
    </row>
    <row r="50" spans="2:9">
      <c r="B50" s="7">
        <v>2005</v>
      </c>
      <c r="C50" s="7" t="s">
        <v>102</v>
      </c>
      <c r="D50" s="7" t="s">
        <v>103</v>
      </c>
      <c r="E50" s="7" t="s">
        <v>9</v>
      </c>
      <c r="F50" s="7" t="s">
        <v>92</v>
      </c>
      <c r="G50" s="7" t="s">
        <v>95</v>
      </c>
      <c r="H50" s="8">
        <v>1</v>
      </c>
      <c r="I50" s="9">
        <f t="shared" si="1"/>
        <v>1.0457078919574606E-5</v>
      </c>
    </row>
    <row r="51" spans="2:9">
      <c r="B51" s="7">
        <v>2005</v>
      </c>
      <c r="C51" s="7" t="s">
        <v>102</v>
      </c>
      <c r="D51" s="7" t="s">
        <v>103</v>
      </c>
      <c r="E51" s="7" t="s">
        <v>9</v>
      </c>
      <c r="F51" s="7" t="s">
        <v>94</v>
      </c>
      <c r="G51" s="7" t="s">
        <v>93</v>
      </c>
      <c r="H51" s="8">
        <v>92</v>
      </c>
      <c r="I51" s="9">
        <f t="shared" si="1"/>
        <v>9.6205126060086371E-4</v>
      </c>
    </row>
    <row r="52" spans="2:9">
      <c r="B52" s="7">
        <v>2005</v>
      </c>
      <c r="C52" s="7" t="s">
        <v>102</v>
      </c>
      <c r="D52" s="7" t="s">
        <v>103</v>
      </c>
      <c r="E52" s="7" t="s">
        <v>9</v>
      </c>
      <c r="F52" s="7" t="s">
        <v>94</v>
      </c>
      <c r="G52" s="7" t="s">
        <v>95</v>
      </c>
      <c r="H52" s="8">
        <v>67</v>
      </c>
      <c r="I52" s="9">
        <f t="shared" si="1"/>
        <v>7.0062428761149859E-4</v>
      </c>
    </row>
    <row r="53" spans="2:9">
      <c r="B53" s="7">
        <v>2005</v>
      </c>
      <c r="C53" s="7" t="s">
        <v>102</v>
      </c>
      <c r="D53" s="7" t="s">
        <v>103</v>
      </c>
      <c r="E53" s="7" t="s">
        <v>10</v>
      </c>
      <c r="F53" s="7" t="s">
        <v>94</v>
      </c>
      <c r="G53" s="7" t="s">
        <v>93</v>
      </c>
      <c r="H53" s="8">
        <v>45</v>
      </c>
      <c r="I53" s="9">
        <f t="shared" si="1"/>
        <v>4.705685513808573E-4</v>
      </c>
    </row>
    <row r="54" spans="2:9">
      <c r="B54" s="7">
        <v>2005</v>
      </c>
      <c r="C54" s="7" t="s">
        <v>102</v>
      </c>
      <c r="D54" s="7" t="s">
        <v>103</v>
      </c>
      <c r="E54" s="7" t="s">
        <v>10</v>
      </c>
      <c r="F54" s="7" t="s">
        <v>94</v>
      </c>
      <c r="G54" s="7" t="s">
        <v>95</v>
      </c>
      <c r="H54" s="8">
        <v>31</v>
      </c>
      <c r="I54" s="9">
        <f t="shared" si="1"/>
        <v>3.2416944650681277E-4</v>
      </c>
    </row>
    <row r="55" spans="2:9">
      <c r="B55" s="7">
        <v>2005</v>
      </c>
      <c r="C55" s="7" t="s">
        <v>102</v>
      </c>
      <c r="D55" s="7" t="s">
        <v>104</v>
      </c>
      <c r="E55" s="7" t="s">
        <v>9</v>
      </c>
      <c r="F55" s="7" t="s">
        <v>92</v>
      </c>
      <c r="G55" s="7" t="s">
        <v>93</v>
      </c>
      <c r="H55" s="8">
        <v>2166</v>
      </c>
      <c r="I55" s="9">
        <f t="shared" si="1"/>
        <v>2.2650032939798597E-2</v>
      </c>
    </row>
    <row r="56" spans="2:9">
      <c r="B56" s="7">
        <v>2005</v>
      </c>
      <c r="C56" s="7" t="s">
        <v>102</v>
      </c>
      <c r="D56" s="7" t="s">
        <v>104</v>
      </c>
      <c r="E56" s="7" t="s">
        <v>9</v>
      </c>
      <c r="F56" s="7" t="s">
        <v>92</v>
      </c>
      <c r="G56" s="7" t="s">
        <v>95</v>
      </c>
      <c r="H56" s="8">
        <v>1134</v>
      </c>
      <c r="I56" s="9">
        <f t="shared" si="1"/>
        <v>1.1858327494797604E-2</v>
      </c>
    </row>
    <row r="57" spans="2:9">
      <c r="B57" s="7">
        <v>2005</v>
      </c>
      <c r="C57" s="7" t="s">
        <v>102</v>
      </c>
      <c r="D57" s="7" t="s">
        <v>104</v>
      </c>
      <c r="E57" s="7" t="s">
        <v>9</v>
      </c>
      <c r="F57" s="7" t="s">
        <v>94</v>
      </c>
      <c r="G57" s="7" t="s">
        <v>93</v>
      </c>
      <c r="H57" s="8">
        <v>1695</v>
      </c>
      <c r="I57" s="9">
        <f t="shared" si="1"/>
        <v>1.7724748768678956E-2</v>
      </c>
    </row>
    <row r="58" spans="2:9">
      <c r="B58" s="7">
        <v>2005</v>
      </c>
      <c r="C58" s="7" t="s">
        <v>102</v>
      </c>
      <c r="D58" s="7" t="s">
        <v>104</v>
      </c>
      <c r="E58" s="7" t="s">
        <v>9</v>
      </c>
      <c r="F58" s="7" t="s">
        <v>94</v>
      </c>
      <c r="G58" s="7" t="s">
        <v>95</v>
      </c>
      <c r="H58" s="8">
        <v>1369</v>
      </c>
      <c r="I58" s="9">
        <f t="shared" si="1"/>
        <v>1.4315741040897636E-2</v>
      </c>
    </row>
    <row r="59" spans="2:9">
      <c r="B59" s="7">
        <v>2005</v>
      </c>
      <c r="C59" s="7" t="s">
        <v>102</v>
      </c>
      <c r="D59" s="7" t="s">
        <v>104</v>
      </c>
      <c r="E59" s="7" t="s">
        <v>10</v>
      </c>
      <c r="F59" s="7" t="s">
        <v>92</v>
      </c>
      <c r="G59" s="7" t="s">
        <v>93</v>
      </c>
      <c r="H59" s="8">
        <v>1</v>
      </c>
      <c r="I59" s="9">
        <f t="shared" si="1"/>
        <v>1.0457078919574606E-5</v>
      </c>
    </row>
    <row r="60" spans="2:9">
      <c r="B60" s="7">
        <v>2005</v>
      </c>
      <c r="C60" s="7" t="s">
        <v>102</v>
      </c>
      <c r="D60" s="7" t="s">
        <v>104</v>
      </c>
      <c r="E60" s="7" t="s">
        <v>10</v>
      </c>
      <c r="F60" s="7" t="s">
        <v>92</v>
      </c>
      <c r="G60" s="7" t="s">
        <v>95</v>
      </c>
      <c r="H60" s="8">
        <v>1</v>
      </c>
      <c r="I60" s="9">
        <f t="shared" si="1"/>
        <v>1.0457078919574606E-5</v>
      </c>
    </row>
    <row r="61" spans="2:9">
      <c r="B61" s="7">
        <v>2005</v>
      </c>
      <c r="C61" s="7" t="s">
        <v>102</v>
      </c>
      <c r="D61" s="7" t="s">
        <v>104</v>
      </c>
      <c r="E61" s="7" t="s">
        <v>10</v>
      </c>
      <c r="F61" s="7" t="s">
        <v>94</v>
      </c>
      <c r="G61" s="7" t="s">
        <v>93</v>
      </c>
      <c r="H61" s="8">
        <v>975</v>
      </c>
      <c r="I61" s="9">
        <f t="shared" si="1"/>
        <v>1.0195651946585241E-2</v>
      </c>
    </row>
    <row r="62" spans="2:9">
      <c r="B62" s="7">
        <v>2005</v>
      </c>
      <c r="C62" s="7" t="s">
        <v>102</v>
      </c>
      <c r="D62" s="7" t="s">
        <v>104</v>
      </c>
      <c r="E62" s="7" t="s">
        <v>10</v>
      </c>
      <c r="F62" s="7" t="s">
        <v>94</v>
      </c>
      <c r="G62" s="7" t="s">
        <v>95</v>
      </c>
      <c r="H62" s="8">
        <v>641</v>
      </c>
      <c r="I62" s="9">
        <f t="shared" si="1"/>
        <v>6.7029875874473222E-3</v>
      </c>
    </row>
    <row r="63" spans="2:9">
      <c r="B63" s="7">
        <v>2005</v>
      </c>
      <c r="C63" s="7" t="s">
        <v>102</v>
      </c>
      <c r="D63" s="7" t="s">
        <v>105</v>
      </c>
      <c r="E63" s="7" t="s">
        <v>9</v>
      </c>
      <c r="F63" s="7" t="s">
        <v>92</v>
      </c>
      <c r="G63" s="7" t="s">
        <v>93</v>
      </c>
      <c r="H63" s="8">
        <v>1</v>
      </c>
      <c r="I63" s="9">
        <f t="shared" si="1"/>
        <v>1.0457078919574606E-5</v>
      </c>
    </row>
    <row r="64" spans="2:9">
      <c r="B64" s="7">
        <v>2005</v>
      </c>
      <c r="C64" s="7" t="s">
        <v>102</v>
      </c>
      <c r="D64" s="7" t="s">
        <v>105</v>
      </c>
      <c r="E64" s="7" t="s">
        <v>9</v>
      </c>
      <c r="F64" s="7" t="s">
        <v>92</v>
      </c>
      <c r="G64" s="7" t="s">
        <v>95</v>
      </c>
      <c r="H64" s="8">
        <v>5</v>
      </c>
      <c r="I64" s="9">
        <f t="shared" si="1"/>
        <v>5.2285394597873032E-5</v>
      </c>
    </row>
    <row r="65" spans="2:9">
      <c r="B65" s="7">
        <v>2005</v>
      </c>
      <c r="C65" s="7" t="s">
        <v>102</v>
      </c>
      <c r="D65" s="7" t="s">
        <v>105</v>
      </c>
      <c r="E65" s="7" t="s">
        <v>9</v>
      </c>
      <c r="F65" s="7" t="s">
        <v>94</v>
      </c>
      <c r="G65" s="7" t="s">
        <v>93</v>
      </c>
      <c r="H65" s="8">
        <v>453</v>
      </c>
      <c r="I65" s="9">
        <f t="shared" si="1"/>
        <v>4.7370567505672966E-3</v>
      </c>
    </row>
    <row r="66" spans="2:9">
      <c r="B66" s="7">
        <v>2005</v>
      </c>
      <c r="C66" s="7" t="s">
        <v>102</v>
      </c>
      <c r="D66" s="7" t="s">
        <v>105</v>
      </c>
      <c r="E66" s="7" t="s">
        <v>9</v>
      </c>
      <c r="F66" s="7" t="s">
        <v>94</v>
      </c>
      <c r="G66" s="7" t="s">
        <v>95</v>
      </c>
      <c r="H66" s="8">
        <v>410</v>
      </c>
      <c r="I66" s="9">
        <f t="shared" si="1"/>
        <v>4.2874023570255888E-3</v>
      </c>
    </row>
    <row r="67" spans="2:9">
      <c r="B67" s="7">
        <v>2005</v>
      </c>
      <c r="C67" s="7" t="s">
        <v>102</v>
      </c>
      <c r="D67" s="7" t="s">
        <v>105</v>
      </c>
      <c r="E67" s="7" t="s">
        <v>10</v>
      </c>
      <c r="F67" s="7" t="s">
        <v>92</v>
      </c>
      <c r="G67" s="7" t="s">
        <v>93</v>
      </c>
      <c r="H67" s="8">
        <v>1</v>
      </c>
      <c r="I67" s="9">
        <f t="shared" si="1"/>
        <v>1.0457078919574606E-5</v>
      </c>
    </row>
    <row r="68" spans="2:9">
      <c r="B68" s="7">
        <v>2005</v>
      </c>
      <c r="C68" s="7" t="s">
        <v>102</v>
      </c>
      <c r="D68" s="7" t="s">
        <v>105</v>
      </c>
      <c r="E68" s="7" t="s">
        <v>10</v>
      </c>
      <c r="F68" s="7" t="s">
        <v>92</v>
      </c>
      <c r="G68" s="7" t="s">
        <v>95</v>
      </c>
      <c r="H68" s="8">
        <v>1</v>
      </c>
      <c r="I68" s="9">
        <f t="shared" si="1"/>
        <v>1.0457078919574606E-5</v>
      </c>
    </row>
    <row r="69" spans="2:9">
      <c r="B69" s="7">
        <v>2005</v>
      </c>
      <c r="C69" s="7" t="s">
        <v>102</v>
      </c>
      <c r="D69" s="7" t="s">
        <v>105</v>
      </c>
      <c r="E69" s="7" t="s">
        <v>10</v>
      </c>
      <c r="F69" s="7" t="s">
        <v>94</v>
      </c>
      <c r="G69" s="7" t="s">
        <v>93</v>
      </c>
      <c r="H69" s="8">
        <v>211</v>
      </c>
      <c r="I69" s="9">
        <f t="shared" si="1"/>
        <v>2.2064436520302421E-3</v>
      </c>
    </row>
    <row r="70" spans="2:9">
      <c r="B70" s="7">
        <v>2005</v>
      </c>
      <c r="C70" s="7" t="s">
        <v>102</v>
      </c>
      <c r="D70" s="7" t="s">
        <v>105</v>
      </c>
      <c r="E70" s="7" t="s">
        <v>10</v>
      </c>
      <c r="F70" s="7" t="s">
        <v>94</v>
      </c>
      <c r="G70" s="7" t="s">
        <v>95</v>
      </c>
      <c r="H70" s="8">
        <v>175</v>
      </c>
      <c r="I70" s="9">
        <f t="shared" si="1"/>
        <v>1.8299888109255561E-3</v>
      </c>
    </row>
    <row r="71" spans="2:9">
      <c r="B71" s="7">
        <v>2005</v>
      </c>
      <c r="C71" s="7" t="s">
        <v>102</v>
      </c>
      <c r="D71" s="7" t="s">
        <v>106</v>
      </c>
      <c r="E71" s="7" t="s">
        <v>9</v>
      </c>
      <c r="F71" s="7" t="s">
        <v>92</v>
      </c>
      <c r="G71" s="7" t="s">
        <v>93</v>
      </c>
      <c r="H71" s="8">
        <v>1</v>
      </c>
      <c r="I71" s="9">
        <f t="shared" si="1"/>
        <v>1.0457078919574606E-5</v>
      </c>
    </row>
    <row r="72" spans="2:9">
      <c r="B72" s="7">
        <v>2005</v>
      </c>
      <c r="C72" s="7" t="s">
        <v>102</v>
      </c>
      <c r="D72" s="7" t="s">
        <v>106</v>
      </c>
      <c r="E72" s="7" t="s">
        <v>9</v>
      </c>
      <c r="F72" s="7" t="s">
        <v>92</v>
      </c>
      <c r="G72" s="7" t="s">
        <v>95</v>
      </c>
      <c r="H72" s="8">
        <v>1</v>
      </c>
      <c r="I72" s="9">
        <f t="shared" si="1"/>
        <v>1.0457078919574606E-5</v>
      </c>
    </row>
    <row r="73" spans="2:9">
      <c r="B73" s="7">
        <v>2005</v>
      </c>
      <c r="C73" s="7" t="s">
        <v>102</v>
      </c>
      <c r="D73" s="7" t="s">
        <v>106</v>
      </c>
      <c r="E73" s="7" t="s">
        <v>9</v>
      </c>
      <c r="F73" s="7" t="s">
        <v>94</v>
      </c>
      <c r="G73" s="7" t="s">
        <v>93</v>
      </c>
      <c r="H73" s="8">
        <v>363</v>
      </c>
      <c r="I73" s="9">
        <f t="shared" si="1"/>
        <v>3.7959196478055818E-3</v>
      </c>
    </row>
    <row r="74" spans="2:9">
      <c r="B74" s="7">
        <v>2005</v>
      </c>
      <c r="C74" s="7" t="s">
        <v>102</v>
      </c>
      <c r="D74" s="7" t="s">
        <v>106</v>
      </c>
      <c r="E74" s="7" t="s">
        <v>9</v>
      </c>
      <c r="F74" s="7" t="s">
        <v>94</v>
      </c>
      <c r="G74" s="7" t="s">
        <v>95</v>
      </c>
      <c r="H74" s="8">
        <v>246</v>
      </c>
      <c r="I74" s="9">
        <f t="shared" si="1"/>
        <v>2.572441414215353E-3</v>
      </c>
    </row>
    <row r="75" spans="2:9">
      <c r="B75" s="7">
        <v>2005</v>
      </c>
      <c r="C75" s="7" t="s">
        <v>102</v>
      </c>
      <c r="D75" s="7" t="s">
        <v>106</v>
      </c>
      <c r="E75" s="7" t="s">
        <v>10</v>
      </c>
      <c r="F75" s="7" t="s">
        <v>94</v>
      </c>
      <c r="G75" s="7" t="s">
        <v>93</v>
      </c>
      <c r="H75" s="8">
        <v>238</v>
      </c>
      <c r="I75" s="9">
        <f t="shared" si="1"/>
        <v>2.4887847828587561E-3</v>
      </c>
    </row>
    <row r="76" spans="2:9">
      <c r="B76" s="7">
        <v>2005</v>
      </c>
      <c r="C76" s="7" t="s">
        <v>102</v>
      </c>
      <c r="D76" s="7" t="s">
        <v>106</v>
      </c>
      <c r="E76" s="7" t="s">
        <v>10</v>
      </c>
      <c r="F76" s="7" t="s">
        <v>94</v>
      </c>
      <c r="G76" s="7" t="s">
        <v>95</v>
      </c>
      <c r="H76" s="8">
        <v>101</v>
      </c>
      <c r="I76" s="9">
        <f t="shared" ref="I76:I107" si="2">IFERROR(H76/$B$8,0)</f>
        <v>1.0561649708770353E-3</v>
      </c>
    </row>
    <row r="77" spans="2:9">
      <c r="B77" s="7">
        <v>2005</v>
      </c>
      <c r="C77" s="7" t="s">
        <v>102</v>
      </c>
      <c r="D77" s="7" t="s">
        <v>107</v>
      </c>
      <c r="E77" s="7" t="s">
        <v>9</v>
      </c>
      <c r="F77" s="7" t="s">
        <v>94</v>
      </c>
      <c r="G77" s="7" t="s">
        <v>93</v>
      </c>
      <c r="H77" s="8">
        <v>138</v>
      </c>
      <c r="I77" s="9">
        <f t="shared" si="2"/>
        <v>1.4430768909012956E-3</v>
      </c>
    </row>
    <row r="78" spans="2:9">
      <c r="B78" s="7">
        <v>2005</v>
      </c>
      <c r="C78" s="7" t="s">
        <v>102</v>
      </c>
      <c r="D78" s="7" t="s">
        <v>107</v>
      </c>
      <c r="E78" s="7" t="s">
        <v>9</v>
      </c>
      <c r="F78" s="7" t="s">
        <v>94</v>
      </c>
      <c r="G78" s="7" t="s">
        <v>95</v>
      </c>
      <c r="H78" s="8">
        <v>105</v>
      </c>
      <c r="I78" s="9">
        <f t="shared" si="2"/>
        <v>1.0979932865553337E-3</v>
      </c>
    </row>
    <row r="79" spans="2:9">
      <c r="B79" s="7">
        <v>2005</v>
      </c>
      <c r="C79" s="7" t="s">
        <v>102</v>
      </c>
      <c r="D79" s="7" t="s">
        <v>107</v>
      </c>
      <c r="E79" s="7" t="s">
        <v>10</v>
      </c>
      <c r="F79" s="7" t="s">
        <v>94</v>
      </c>
      <c r="G79" s="7" t="s">
        <v>93</v>
      </c>
      <c r="H79" s="8">
        <v>69</v>
      </c>
      <c r="I79" s="9">
        <f t="shared" si="2"/>
        <v>7.2153844545064781E-4</v>
      </c>
    </row>
    <row r="80" spans="2:9">
      <c r="B80" s="7">
        <v>2005</v>
      </c>
      <c r="C80" s="7" t="s">
        <v>102</v>
      </c>
      <c r="D80" s="7" t="s">
        <v>107</v>
      </c>
      <c r="E80" s="7" t="s">
        <v>10</v>
      </c>
      <c r="F80" s="7" t="s">
        <v>94</v>
      </c>
      <c r="G80" s="7" t="s">
        <v>95</v>
      </c>
      <c r="H80" s="8">
        <v>50</v>
      </c>
      <c r="I80" s="9">
        <f t="shared" si="2"/>
        <v>5.2285394597873034E-4</v>
      </c>
    </row>
    <row r="81" spans="2:9">
      <c r="B81" s="7">
        <v>2005</v>
      </c>
      <c r="C81" s="7" t="s">
        <v>102</v>
      </c>
      <c r="D81" s="7" t="s">
        <v>108</v>
      </c>
      <c r="E81" s="7" t="s">
        <v>9</v>
      </c>
      <c r="F81" s="7" t="s">
        <v>92</v>
      </c>
      <c r="G81" s="7" t="s">
        <v>93</v>
      </c>
      <c r="H81" s="8">
        <v>17</v>
      </c>
      <c r="I81" s="9">
        <f t="shared" si="2"/>
        <v>1.777703416327683E-4</v>
      </c>
    </row>
    <row r="82" spans="2:9">
      <c r="B82" s="7">
        <v>2005</v>
      </c>
      <c r="C82" s="7" t="s">
        <v>102</v>
      </c>
      <c r="D82" s="7" t="s">
        <v>108</v>
      </c>
      <c r="E82" s="7" t="s">
        <v>9</v>
      </c>
      <c r="F82" s="7" t="s">
        <v>92</v>
      </c>
      <c r="G82" s="7" t="s">
        <v>95</v>
      </c>
      <c r="H82" s="8">
        <v>7</v>
      </c>
      <c r="I82" s="9">
        <f t="shared" si="2"/>
        <v>7.3199552437022236E-5</v>
      </c>
    </row>
    <row r="83" spans="2:9">
      <c r="B83" s="7">
        <v>2005</v>
      </c>
      <c r="C83" s="7" t="s">
        <v>102</v>
      </c>
      <c r="D83" s="7" t="s">
        <v>108</v>
      </c>
      <c r="E83" s="7" t="s">
        <v>9</v>
      </c>
      <c r="F83" s="7" t="s">
        <v>94</v>
      </c>
      <c r="G83" s="7" t="s">
        <v>93</v>
      </c>
      <c r="H83" s="8">
        <v>708</v>
      </c>
      <c r="I83" s="9">
        <f t="shared" si="2"/>
        <v>7.4036118750588215E-3</v>
      </c>
    </row>
    <row r="84" spans="2:9">
      <c r="B84" s="7">
        <v>2005</v>
      </c>
      <c r="C84" s="7" t="s">
        <v>102</v>
      </c>
      <c r="D84" s="7" t="s">
        <v>108</v>
      </c>
      <c r="E84" s="7" t="s">
        <v>9</v>
      </c>
      <c r="F84" s="7" t="s">
        <v>94</v>
      </c>
      <c r="G84" s="7" t="s">
        <v>95</v>
      </c>
      <c r="H84" s="8">
        <v>497</v>
      </c>
      <c r="I84" s="9">
        <f t="shared" si="2"/>
        <v>5.1971682230285794E-3</v>
      </c>
    </row>
    <row r="85" spans="2:9">
      <c r="B85" s="7">
        <v>2005</v>
      </c>
      <c r="C85" s="7" t="s">
        <v>102</v>
      </c>
      <c r="D85" s="7" t="s">
        <v>108</v>
      </c>
      <c r="E85" s="7" t="s">
        <v>10</v>
      </c>
      <c r="F85" s="7" t="s">
        <v>94</v>
      </c>
      <c r="G85" s="7" t="s">
        <v>93</v>
      </c>
      <c r="H85" s="8">
        <v>233</v>
      </c>
      <c r="I85" s="9">
        <f t="shared" si="2"/>
        <v>2.436499388260883E-3</v>
      </c>
    </row>
    <row r="86" spans="2:9">
      <c r="B86" s="7">
        <v>2005</v>
      </c>
      <c r="C86" s="7" t="s">
        <v>102</v>
      </c>
      <c r="D86" s="7" t="s">
        <v>108</v>
      </c>
      <c r="E86" s="7" t="s">
        <v>10</v>
      </c>
      <c r="F86" s="7" t="s">
        <v>94</v>
      </c>
      <c r="G86" s="7" t="s">
        <v>95</v>
      </c>
      <c r="H86" s="8">
        <v>172</v>
      </c>
      <c r="I86" s="9">
        <f t="shared" si="2"/>
        <v>1.7986175741668323E-3</v>
      </c>
    </row>
    <row r="87" spans="2:9">
      <c r="B87" s="7">
        <v>2005</v>
      </c>
      <c r="C87" s="7" t="s">
        <v>102</v>
      </c>
      <c r="D87" s="7" t="s">
        <v>109</v>
      </c>
      <c r="E87" s="7" t="s">
        <v>9</v>
      </c>
      <c r="F87" s="7" t="s">
        <v>94</v>
      </c>
      <c r="G87" s="7" t="s">
        <v>93</v>
      </c>
      <c r="H87" s="8">
        <v>333</v>
      </c>
      <c r="I87" s="9">
        <f t="shared" si="2"/>
        <v>3.4822072802183439E-3</v>
      </c>
    </row>
    <row r="88" spans="2:9">
      <c r="B88" s="7">
        <v>2005</v>
      </c>
      <c r="C88" s="7" t="s">
        <v>102</v>
      </c>
      <c r="D88" s="7" t="s">
        <v>109</v>
      </c>
      <c r="E88" s="7" t="s">
        <v>9</v>
      </c>
      <c r="F88" s="7" t="s">
        <v>94</v>
      </c>
      <c r="G88" s="7" t="s">
        <v>95</v>
      </c>
      <c r="H88" s="8">
        <v>205</v>
      </c>
      <c r="I88" s="9">
        <f t="shared" si="2"/>
        <v>2.1437011785127944E-3</v>
      </c>
    </row>
    <row r="89" spans="2:9">
      <c r="B89" s="7">
        <v>2005</v>
      </c>
      <c r="C89" s="7" t="s">
        <v>102</v>
      </c>
      <c r="D89" s="7" t="s">
        <v>109</v>
      </c>
      <c r="E89" s="7" t="s">
        <v>10</v>
      </c>
      <c r="F89" s="7" t="s">
        <v>94</v>
      </c>
      <c r="G89" s="7" t="s">
        <v>93</v>
      </c>
      <c r="H89" s="8">
        <v>104</v>
      </c>
      <c r="I89" s="9">
        <f t="shared" si="2"/>
        <v>1.0875362076357591E-3</v>
      </c>
    </row>
    <row r="90" spans="2:9">
      <c r="B90" s="7">
        <v>2005</v>
      </c>
      <c r="C90" s="7" t="s">
        <v>102</v>
      </c>
      <c r="D90" s="7" t="s">
        <v>109</v>
      </c>
      <c r="E90" s="7" t="s">
        <v>10</v>
      </c>
      <c r="F90" s="7" t="s">
        <v>94</v>
      </c>
      <c r="G90" s="7" t="s">
        <v>95</v>
      </c>
      <c r="H90" s="8">
        <v>48</v>
      </c>
      <c r="I90" s="9">
        <f t="shared" si="2"/>
        <v>5.0193978813958112E-4</v>
      </c>
    </row>
    <row r="91" spans="2:9">
      <c r="B91" s="7">
        <v>2005</v>
      </c>
      <c r="C91" s="7" t="s">
        <v>102</v>
      </c>
      <c r="D91" s="7" t="s">
        <v>110</v>
      </c>
      <c r="E91" s="7" t="s">
        <v>9</v>
      </c>
      <c r="F91" s="7" t="s">
        <v>92</v>
      </c>
      <c r="G91" s="7" t="s">
        <v>93</v>
      </c>
      <c r="H91" s="8">
        <v>5</v>
      </c>
      <c r="I91" s="9">
        <f t="shared" si="2"/>
        <v>5.2285394597873032E-5</v>
      </c>
    </row>
    <row r="92" spans="2:9">
      <c r="B92" s="7">
        <v>2005</v>
      </c>
      <c r="C92" s="7" t="s">
        <v>102</v>
      </c>
      <c r="D92" s="7" t="s">
        <v>110</v>
      </c>
      <c r="E92" s="7" t="s">
        <v>9</v>
      </c>
      <c r="F92" s="7" t="s">
        <v>92</v>
      </c>
      <c r="G92" s="7" t="s">
        <v>95</v>
      </c>
      <c r="H92" s="8">
        <v>4</v>
      </c>
      <c r="I92" s="9">
        <f t="shared" si="2"/>
        <v>4.1828315678298423E-5</v>
      </c>
    </row>
    <row r="93" spans="2:9">
      <c r="B93" s="7">
        <v>2005</v>
      </c>
      <c r="C93" s="7" t="s">
        <v>102</v>
      </c>
      <c r="D93" s="7" t="s">
        <v>110</v>
      </c>
      <c r="E93" s="7" t="s">
        <v>9</v>
      </c>
      <c r="F93" s="7" t="s">
        <v>94</v>
      </c>
      <c r="G93" s="7" t="s">
        <v>93</v>
      </c>
      <c r="H93" s="8">
        <v>196</v>
      </c>
      <c r="I93" s="9">
        <f t="shared" si="2"/>
        <v>2.0495874682366229E-3</v>
      </c>
    </row>
    <row r="94" spans="2:9">
      <c r="B94" s="7">
        <v>2005</v>
      </c>
      <c r="C94" s="7" t="s">
        <v>102</v>
      </c>
      <c r="D94" s="7" t="s">
        <v>110</v>
      </c>
      <c r="E94" s="7" t="s">
        <v>9</v>
      </c>
      <c r="F94" s="7" t="s">
        <v>94</v>
      </c>
      <c r="G94" s="7" t="s">
        <v>95</v>
      </c>
      <c r="H94" s="8">
        <v>186</v>
      </c>
      <c r="I94" s="9">
        <f t="shared" si="2"/>
        <v>1.9450166790408766E-3</v>
      </c>
    </row>
    <row r="95" spans="2:9">
      <c r="B95" s="7">
        <v>2005</v>
      </c>
      <c r="C95" s="7" t="s">
        <v>102</v>
      </c>
      <c r="D95" s="7" t="s">
        <v>110</v>
      </c>
      <c r="E95" s="7" t="s">
        <v>10</v>
      </c>
      <c r="F95" s="7" t="s">
        <v>94</v>
      </c>
      <c r="G95" s="7" t="s">
        <v>93</v>
      </c>
      <c r="H95" s="8">
        <v>179</v>
      </c>
      <c r="I95" s="9">
        <f t="shared" si="2"/>
        <v>1.8718171266038546E-3</v>
      </c>
    </row>
    <row r="96" spans="2:9">
      <c r="B96" s="7">
        <v>2005</v>
      </c>
      <c r="C96" s="7" t="s">
        <v>102</v>
      </c>
      <c r="D96" s="7" t="s">
        <v>110</v>
      </c>
      <c r="E96" s="7" t="s">
        <v>10</v>
      </c>
      <c r="F96" s="7" t="s">
        <v>94</v>
      </c>
      <c r="G96" s="7" t="s">
        <v>95</v>
      </c>
      <c r="H96" s="8">
        <v>135</v>
      </c>
      <c r="I96" s="9">
        <f t="shared" si="2"/>
        <v>1.4117056541425718E-3</v>
      </c>
    </row>
    <row r="97" spans="2:9">
      <c r="B97" s="7">
        <v>2005</v>
      </c>
      <c r="C97" s="7" t="s">
        <v>102</v>
      </c>
      <c r="D97" s="7" t="s">
        <v>111</v>
      </c>
      <c r="E97" s="7" t="s">
        <v>9</v>
      </c>
      <c r="F97" s="7" t="s">
        <v>92</v>
      </c>
      <c r="G97" s="7" t="s">
        <v>93</v>
      </c>
      <c r="H97" s="8">
        <v>5</v>
      </c>
      <c r="I97" s="9">
        <f t="shared" si="2"/>
        <v>5.2285394597873032E-5</v>
      </c>
    </row>
    <row r="98" spans="2:9">
      <c r="B98" s="7">
        <v>2005</v>
      </c>
      <c r="C98" s="7" t="s">
        <v>102</v>
      </c>
      <c r="D98" s="7" t="s">
        <v>111</v>
      </c>
      <c r="E98" s="7" t="s">
        <v>9</v>
      </c>
      <c r="F98" s="7" t="s">
        <v>92</v>
      </c>
      <c r="G98" s="7" t="s">
        <v>95</v>
      </c>
      <c r="H98" s="8">
        <v>1</v>
      </c>
      <c r="I98" s="9">
        <f t="shared" si="2"/>
        <v>1.0457078919574606E-5</v>
      </c>
    </row>
    <row r="99" spans="2:9">
      <c r="B99" s="7">
        <v>2005</v>
      </c>
      <c r="C99" s="7" t="s">
        <v>102</v>
      </c>
      <c r="D99" s="7" t="s">
        <v>111</v>
      </c>
      <c r="E99" s="7" t="s">
        <v>9</v>
      </c>
      <c r="F99" s="7" t="s">
        <v>94</v>
      </c>
      <c r="G99" s="7" t="s">
        <v>93</v>
      </c>
      <c r="H99" s="8">
        <v>73</v>
      </c>
      <c r="I99" s="9">
        <f t="shared" si="2"/>
        <v>7.6336676112894624E-4</v>
      </c>
    </row>
    <row r="100" spans="2:9">
      <c r="B100" s="7">
        <v>2005</v>
      </c>
      <c r="C100" s="7" t="s">
        <v>102</v>
      </c>
      <c r="D100" s="7" t="s">
        <v>111</v>
      </c>
      <c r="E100" s="7" t="s">
        <v>9</v>
      </c>
      <c r="F100" s="7" t="s">
        <v>94</v>
      </c>
      <c r="G100" s="7" t="s">
        <v>95</v>
      </c>
      <c r="H100" s="8">
        <v>62</v>
      </c>
      <c r="I100" s="9">
        <f t="shared" si="2"/>
        <v>6.4833889301362554E-4</v>
      </c>
    </row>
    <row r="101" spans="2:9">
      <c r="B101" s="7">
        <v>2005</v>
      </c>
      <c r="C101" s="7" t="s">
        <v>102</v>
      </c>
      <c r="D101" s="7" t="s">
        <v>111</v>
      </c>
      <c r="E101" s="7" t="s">
        <v>10</v>
      </c>
      <c r="F101" s="7" t="s">
        <v>94</v>
      </c>
      <c r="G101" s="7" t="s">
        <v>93</v>
      </c>
      <c r="H101" s="8">
        <v>63</v>
      </c>
      <c r="I101" s="9">
        <f t="shared" si="2"/>
        <v>6.5879597193320015E-4</v>
      </c>
    </row>
    <row r="102" spans="2:9">
      <c r="B102" s="7">
        <v>2005</v>
      </c>
      <c r="C102" s="7" t="s">
        <v>102</v>
      </c>
      <c r="D102" s="7" t="s">
        <v>111</v>
      </c>
      <c r="E102" s="7" t="s">
        <v>10</v>
      </c>
      <c r="F102" s="7" t="s">
        <v>94</v>
      </c>
      <c r="G102" s="7" t="s">
        <v>95</v>
      </c>
      <c r="H102" s="8">
        <v>27</v>
      </c>
      <c r="I102" s="9">
        <f t="shared" si="2"/>
        <v>2.8234113082851439E-4</v>
      </c>
    </row>
    <row r="103" spans="2:9">
      <c r="B103" s="7">
        <v>2005</v>
      </c>
      <c r="C103" s="7" t="s">
        <v>112</v>
      </c>
      <c r="D103" s="7" t="s">
        <v>113</v>
      </c>
      <c r="E103" s="7" t="s">
        <v>9</v>
      </c>
      <c r="F103" s="7" t="s">
        <v>92</v>
      </c>
      <c r="G103" s="7" t="s">
        <v>93</v>
      </c>
      <c r="H103" s="8">
        <v>9</v>
      </c>
      <c r="I103" s="9">
        <f t="shared" si="2"/>
        <v>9.4113710276171454E-5</v>
      </c>
    </row>
    <row r="104" spans="2:9">
      <c r="B104" s="7">
        <v>2005</v>
      </c>
      <c r="C104" s="7" t="s">
        <v>112</v>
      </c>
      <c r="D104" s="7" t="s">
        <v>113</v>
      </c>
      <c r="E104" s="7" t="s">
        <v>9</v>
      </c>
      <c r="F104" s="7" t="s">
        <v>92</v>
      </c>
      <c r="G104" s="7" t="s">
        <v>95</v>
      </c>
      <c r="H104" s="8">
        <v>3</v>
      </c>
      <c r="I104" s="9">
        <f t="shared" si="2"/>
        <v>3.137123675872382E-5</v>
      </c>
    </row>
    <row r="105" spans="2:9">
      <c r="B105" s="7">
        <v>2005</v>
      </c>
      <c r="C105" s="7" t="s">
        <v>112</v>
      </c>
      <c r="D105" s="7" t="s">
        <v>113</v>
      </c>
      <c r="E105" s="7" t="s">
        <v>9</v>
      </c>
      <c r="F105" s="7" t="s">
        <v>94</v>
      </c>
      <c r="G105" s="7" t="s">
        <v>93</v>
      </c>
      <c r="H105" s="8">
        <v>750</v>
      </c>
      <c r="I105" s="9">
        <f t="shared" si="2"/>
        <v>7.8428091896809542E-3</v>
      </c>
    </row>
    <row r="106" spans="2:9">
      <c r="B106" s="7">
        <v>2005</v>
      </c>
      <c r="C106" s="7" t="s">
        <v>112</v>
      </c>
      <c r="D106" s="7" t="s">
        <v>113</v>
      </c>
      <c r="E106" s="7" t="s">
        <v>9</v>
      </c>
      <c r="F106" s="7" t="s">
        <v>94</v>
      </c>
      <c r="G106" s="7" t="s">
        <v>95</v>
      </c>
      <c r="H106" s="8">
        <v>414</v>
      </c>
      <c r="I106" s="9">
        <f t="shared" si="2"/>
        <v>4.3292306727038873E-3</v>
      </c>
    </row>
    <row r="107" spans="2:9">
      <c r="B107" s="7">
        <v>2005</v>
      </c>
      <c r="C107" s="7" t="s">
        <v>112</v>
      </c>
      <c r="D107" s="7" t="s">
        <v>113</v>
      </c>
      <c r="E107" s="7" t="s">
        <v>10</v>
      </c>
      <c r="F107" s="7" t="s">
        <v>94</v>
      </c>
      <c r="G107" s="7" t="s">
        <v>93</v>
      </c>
      <c r="H107" s="8">
        <v>435</v>
      </c>
      <c r="I107" s="9">
        <f t="shared" si="2"/>
        <v>4.5488293300149536E-3</v>
      </c>
    </row>
    <row r="108" spans="2:9">
      <c r="B108" s="7">
        <v>2005</v>
      </c>
      <c r="C108" s="7" t="s">
        <v>112</v>
      </c>
      <c r="D108" s="7" t="s">
        <v>113</v>
      </c>
      <c r="E108" s="7" t="s">
        <v>10</v>
      </c>
      <c r="F108" s="7" t="s">
        <v>94</v>
      </c>
      <c r="G108" s="7" t="s">
        <v>95</v>
      </c>
      <c r="H108" s="8">
        <v>303</v>
      </c>
      <c r="I108" s="9">
        <f t="shared" ref="I108:I139" si="3">IFERROR(H108/$B$8,0)</f>
        <v>3.1684949126311057E-3</v>
      </c>
    </row>
    <row r="109" spans="2:9">
      <c r="B109" s="7">
        <v>2005</v>
      </c>
      <c r="C109" s="7" t="s">
        <v>112</v>
      </c>
      <c r="D109" s="7" t="s">
        <v>114</v>
      </c>
      <c r="E109" s="7" t="s">
        <v>9</v>
      </c>
      <c r="F109" s="7" t="s">
        <v>92</v>
      </c>
      <c r="G109" s="7" t="s">
        <v>93</v>
      </c>
      <c r="H109" s="8">
        <v>19</v>
      </c>
      <c r="I109" s="9">
        <f t="shared" si="3"/>
        <v>1.9868449947191752E-4</v>
      </c>
    </row>
    <row r="110" spans="2:9">
      <c r="B110" s="7">
        <v>2005</v>
      </c>
      <c r="C110" s="7" t="s">
        <v>112</v>
      </c>
      <c r="D110" s="7" t="s">
        <v>114</v>
      </c>
      <c r="E110" s="7" t="s">
        <v>9</v>
      </c>
      <c r="F110" s="7" t="s">
        <v>92</v>
      </c>
      <c r="G110" s="7" t="s">
        <v>95</v>
      </c>
      <c r="H110" s="8">
        <v>9</v>
      </c>
      <c r="I110" s="9">
        <f t="shared" si="3"/>
        <v>9.4113710276171454E-5</v>
      </c>
    </row>
    <row r="111" spans="2:9">
      <c r="B111" s="7">
        <v>2005</v>
      </c>
      <c r="C111" s="7" t="s">
        <v>112</v>
      </c>
      <c r="D111" s="7" t="s">
        <v>114</v>
      </c>
      <c r="E111" s="7" t="s">
        <v>9</v>
      </c>
      <c r="F111" s="7" t="s">
        <v>94</v>
      </c>
      <c r="G111" s="7" t="s">
        <v>93</v>
      </c>
      <c r="H111" s="8">
        <v>1156</v>
      </c>
      <c r="I111" s="9">
        <f t="shared" si="3"/>
        <v>1.2088383231028245E-2</v>
      </c>
    </row>
    <row r="112" spans="2:9">
      <c r="B112" s="7">
        <v>2005</v>
      </c>
      <c r="C112" s="7" t="s">
        <v>112</v>
      </c>
      <c r="D112" s="7" t="s">
        <v>114</v>
      </c>
      <c r="E112" s="7" t="s">
        <v>9</v>
      </c>
      <c r="F112" s="7" t="s">
        <v>94</v>
      </c>
      <c r="G112" s="7" t="s">
        <v>95</v>
      </c>
      <c r="H112" s="8">
        <v>725</v>
      </c>
      <c r="I112" s="9">
        <f t="shared" si="3"/>
        <v>7.5813822166915894E-3</v>
      </c>
    </row>
    <row r="113" spans="2:9">
      <c r="B113" s="7">
        <v>2005</v>
      </c>
      <c r="C113" s="7" t="s">
        <v>112</v>
      </c>
      <c r="D113" s="7" t="s">
        <v>114</v>
      </c>
      <c r="E113" s="7" t="s">
        <v>10</v>
      </c>
      <c r="F113" s="7" t="s">
        <v>92</v>
      </c>
      <c r="G113" s="7" t="s">
        <v>93</v>
      </c>
      <c r="H113" s="8">
        <v>1</v>
      </c>
      <c r="I113" s="9">
        <f t="shared" si="3"/>
        <v>1.0457078919574606E-5</v>
      </c>
    </row>
    <row r="114" spans="2:9">
      <c r="B114" s="7">
        <v>2005</v>
      </c>
      <c r="C114" s="7" t="s">
        <v>112</v>
      </c>
      <c r="D114" s="7" t="s">
        <v>114</v>
      </c>
      <c r="E114" s="7" t="s">
        <v>10</v>
      </c>
      <c r="F114" s="7" t="s">
        <v>94</v>
      </c>
      <c r="G114" s="7" t="s">
        <v>93</v>
      </c>
      <c r="H114" s="8">
        <v>513</v>
      </c>
      <c r="I114" s="9">
        <f t="shared" si="3"/>
        <v>5.3644814857417731E-3</v>
      </c>
    </row>
    <row r="115" spans="2:9">
      <c r="B115" s="7">
        <v>2005</v>
      </c>
      <c r="C115" s="7" t="s">
        <v>112</v>
      </c>
      <c r="D115" s="7" t="s">
        <v>114</v>
      </c>
      <c r="E115" s="7" t="s">
        <v>10</v>
      </c>
      <c r="F115" s="7" t="s">
        <v>94</v>
      </c>
      <c r="G115" s="7" t="s">
        <v>95</v>
      </c>
      <c r="H115" s="8">
        <v>297</v>
      </c>
      <c r="I115" s="9">
        <f t="shared" si="3"/>
        <v>3.105752439113658E-3</v>
      </c>
    </row>
    <row r="116" spans="2:9">
      <c r="B116" s="7">
        <v>2005</v>
      </c>
      <c r="C116" s="7" t="s">
        <v>112</v>
      </c>
      <c r="D116" s="7" t="s">
        <v>115</v>
      </c>
      <c r="E116" s="7" t="s">
        <v>9</v>
      </c>
      <c r="F116" s="7" t="s">
        <v>92</v>
      </c>
      <c r="G116" s="7" t="s">
        <v>93</v>
      </c>
      <c r="H116" s="8">
        <v>31</v>
      </c>
      <c r="I116" s="9">
        <f t="shared" si="3"/>
        <v>3.2416944650681277E-4</v>
      </c>
    </row>
    <row r="117" spans="2:9">
      <c r="B117" s="7">
        <v>2005</v>
      </c>
      <c r="C117" s="7" t="s">
        <v>112</v>
      </c>
      <c r="D117" s="7" t="s">
        <v>115</v>
      </c>
      <c r="E117" s="7" t="s">
        <v>9</v>
      </c>
      <c r="F117" s="7" t="s">
        <v>92</v>
      </c>
      <c r="G117" s="7" t="s">
        <v>95</v>
      </c>
      <c r="H117" s="8">
        <v>8</v>
      </c>
      <c r="I117" s="9">
        <f t="shared" si="3"/>
        <v>8.3656631356596845E-5</v>
      </c>
    </row>
    <row r="118" spans="2:9">
      <c r="B118" s="7">
        <v>2005</v>
      </c>
      <c r="C118" s="7" t="s">
        <v>112</v>
      </c>
      <c r="D118" s="7" t="s">
        <v>115</v>
      </c>
      <c r="E118" s="7" t="s">
        <v>9</v>
      </c>
      <c r="F118" s="7" t="s">
        <v>94</v>
      </c>
      <c r="G118" s="7" t="s">
        <v>93</v>
      </c>
      <c r="H118" s="8">
        <v>673</v>
      </c>
      <c r="I118" s="9">
        <f t="shared" si="3"/>
        <v>7.0376141128737097E-3</v>
      </c>
    </row>
    <row r="119" spans="2:9">
      <c r="B119" s="7">
        <v>2005</v>
      </c>
      <c r="C119" s="7" t="s">
        <v>112</v>
      </c>
      <c r="D119" s="7" t="s">
        <v>115</v>
      </c>
      <c r="E119" s="7" t="s">
        <v>9</v>
      </c>
      <c r="F119" s="7" t="s">
        <v>94</v>
      </c>
      <c r="G119" s="7" t="s">
        <v>95</v>
      </c>
      <c r="H119" s="8">
        <v>484</v>
      </c>
      <c r="I119" s="9">
        <f t="shared" si="3"/>
        <v>5.061226197074109E-3</v>
      </c>
    </row>
    <row r="120" spans="2:9">
      <c r="B120" s="7">
        <v>2005</v>
      </c>
      <c r="C120" s="7" t="s">
        <v>112</v>
      </c>
      <c r="D120" s="7" t="s">
        <v>115</v>
      </c>
      <c r="E120" s="7" t="s">
        <v>10</v>
      </c>
      <c r="F120" s="7" t="s">
        <v>94</v>
      </c>
      <c r="G120" s="7" t="s">
        <v>93</v>
      </c>
      <c r="H120" s="8">
        <v>376</v>
      </c>
      <c r="I120" s="9">
        <f t="shared" si="3"/>
        <v>3.9318616737600521E-3</v>
      </c>
    </row>
    <row r="121" spans="2:9">
      <c r="B121" s="7">
        <v>2005</v>
      </c>
      <c r="C121" s="7" t="s">
        <v>112</v>
      </c>
      <c r="D121" s="7" t="s">
        <v>115</v>
      </c>
      <c r="E121" s="7" t="s">
        <v>10</v>
      </c>
      <c r="F121" s="7" t="s">
        <v>94</v>
      </c>
      <c r="G121" s="7" t="s">
        <v>95</v>
      </c>
      <c r="H121" s="8">
        <v>207</v>
      </c>
      <c r="I121" s="9">
        <f t="shared" si="3"/>
        <v>2.1646153363519436E-3</v>
      </c>
    </row>
    <row r="122" spans="2:9">
      <c r="B122" s="7">
        <v>2005</v>
      </c>
      <c r="C122" s="7" t="s">
        <v>112</v>
      </c>
      <c r="D122" s="7" t="s">
        <v>116</v>
      </c>
      <c r="E122" s="7" t="s">
        <v>9</v>
      </c>
      <c r="F122" s="7" t="s">
        <v>92</v>
      </c>
      <c r="G122" s="7" t="s">
        <v>93</v>
      </c>
      <c r="H122" s="8">
        <v>45</v>
      </c>
      <c r="I122" s="9">
        <f t="shared" si="3"/>
        <v>4.705685513808573E-4</v>
      </c>
    </row>
    <row r="123" spans="2:9">
      <c r="B123" s="7">
        <v>2005</v>
      </c>
      <c r="C123" s="7" t="s">
        <v>112</v>
      </c>
      <c r="D123" s="7" t="s">
        <v>116</v>
      </c>
      <c r="E123" s="7" t="s">
        <v>9</v>
      </c>
      <c r="F123" s="7" t="s">
        <v>92</v>
      </c>
      <c r="G123" s="7" t="s">
        <v>95</v>
      </c>
      <c r="H123" s="8">
        <v>14</v>
      </c>
      <c r="I123" s="9">
        <f t="shared" si="3"/>
        <v>1.4639910487404447E-4</v>
      </c>
    </row>
    <row r="124" spans="2:9">
      <c r="B124" s="7">
        <v>2005</v>
      </c>
      <c r="C124" s="7" t="s">
        <v>112</v>
      </c>
      <c r="D124" s="7" t="s">
        <v>116</v>
      </c>
      <c r="E124" s="7" t="s">
        <v>9</v>
      </c>
      <c r="F124" s="7" t="s">
        <v>94</v>
      </c>
      <c r="G124" s="7" t="s">
        <v>93</v>
      </c>
      <c r="H124" s="8">
        <v>405</v>
      </c>
      <c r="I124" s="9">
        <f t="shared" si="3"/>
        <v>4.2351169624277154E-3</v>
      </c>
    </row>
    <row r="125" spans="2:9">
      <c r="B125" s="7">
        <v>2005</v>
      </c>
      <c r="C125" s="7" t="s">
        <v>112</v>
      </c>
      <c r="D125" s="7" t="s">
        <v>116</v>
      </c>
      <c r="E125" s="7" t="s">
        <v>9</v>
      </c>
      <c r="F125" s="7" t="s">
        <v>94</v>
      </c>
      <c r="G125" s="7" t="s">
        <v>95</v>
      </c>
      <c r="H125" s="8">
        <v>284</v>
      </c>
      <c r="I125" s="9">
        <f t="shared" si="3"/>
        <v>2.9698104131591881E-3</v>
      </c>
    </row>
    <row r="126" spans="2:9">
      <c r="B126" s="7">
        <v>2005</v>
      </c>
      <c r="C126" s="7" t="s">
        <v>112</v>
      </c>
      <c r="D126" s="7" t="s">
        <v>116</v>
      </c>
      <c r="E126" s="7" t="s">
        <v>10</v>
      </c>
      <c r="F126" s="7" t="s">
        <v>94</v>
      </c>
      <c r="G126" s="7" t="s">
        <v>93</v>
      </c>
      <c r="H126" s="8">
        <v>369</v>
      </c>
      <c r="I126" s="9">
        <f t="shared" si="3"/>
        <v>3.8586621213230294E-3</v>
      </c>
    </row>
    <row r="127" spans="2:9">
      <c r="B127" s="7">
        <v>2005</v>
      </c>
      <c r="C127" s="7" t="s">
        <v>112</v>
      </c>
      <c r="D127" s="7" t="s">
        <v>116</v>
      </c>
      <c r="E127" s="7" t="s">
        <v>10</v>
      </c>
      <c r="F127" s="7" t="s">
        <v>94</v>
      </c>
      <c r="G127" s="7" t="s">
        <v>95</v>
      </c>
      <c r="H127" s="8">
        <v>258</v>
      </c>
      <c r="I127" s="9">
        <f t="shared" si="3"/>
        <v>2.6979263612502483E-3</v>
      </c>
    </row>
    <row r="128" spans="2:9">
      <c r="B128" s="7">
        <v>2005</v>
      </c>
      <c r="C128" s="7" t="s">
        <v>117</v>
      </c>
      <c r="D128" s="7" t="s">
        <v>118</v>
      </c>
      <c r="E128" s="7" t="s">
        <v>9</v>
      </c>
      <c r="F128" s="7" t="s">
        <v>92</v>
      </c>
      <c r="G128" s="7" t="s">
        <v>93</v>
      </c>
      <c r="H128" s="8">
        <v>20</v>
      </c>
      <c r="I128" s="9">
        <f t="shared" si="3"/>
        <v>2.0914157839149213E-4</v>
      </c>
    </row>
    <row r="129" spans="2:9">
      <c r="B129" s="7">
        <v>2005</v>
      </c>
      <c r="C129" s="7" t="s">
        <v>117</v>
      </c>
      <c r="D129" s="7" t="s">
        <v>118</v>
      </c>
      <c r="E129" s="7" t="s">
        <v>9</v>
      </c>
      <c r="F129" s="7" t="s">
        <v>92</v>
      </c>
      <c r="G129" s="7" t="s">
        <v>95</v>
      </c>
      <c r="H129" s="8">
        <v>14</v>
      </c>
      <c r="I129" s="9">
        <f t="shared" si="3"/>
        <v>1.4639910487404447E-4</v>
      </c>
    </row>
    <row r="130" spans="2:9">
      <c r="B130" s="7">
        <v>2005</v>
      </c>
      <c r="C130" s="7" t="s">
        <v>117</v>
      </c>
      <c r="D130" s="7" t="s">
        <v>118</v>
      </c>
      <c r="E130" s="7" t="s">
        <v>9</v>
      </c>
      <c r="F130" s="7" t="s">
        <v>94</v>
      </c>
      <c r="G130" s="7" t="s">
        <v>93</v>
      </c>
      <c r="H130" s="8">
        <v>824</v>
      </c>
      <c r="I130" s="9">
        <f t="shared" si="3"/>
        <v>8.6166330297294761E-3</v>
      </c>
    </row>
    <row r="131" spans="2:9">
      <c r="B131" s="7">
        <v>2005</v>
      </c>
      <c r="C131" s="7" t="s">
        <v>117</v>
      </c>
      <c r="D131" s="7" t="s">
        <v>118</v>
      </c>
      <c r="E131" s="7" t="s">
        <v>9</v>
      </c>
      <c r="F131" s="7" t="s">
        <v>94</v>
      </c>
      <c r="G131" s="7" t="s">
        <v>95</v>
      </c>
      <c r="H131" s="8">
        <v>545</v>
      </c>
      <c r="I131" s="9">
        <f t="shared" si="3"/>
        <v>5.6991080111681606E-3</v>
      </c>
    </row>
    <row r="132" spans="2:9">
      <c r="B132" s="7">
        <v>2005</v>
      </c>
      <c r="C132" s="7" t="s">
        <v>117</v>
      </c>
      <c r="D132" s="7" t="s">
        <v>118</v>
      </c>
      <c r="E132" s="7" t="s">
        <v>10</v>
      </c>
      <c r="F132" s="7" t="s">
        <v>94</v>
      </c>
      <c r="G132" s="7" t="s">
        <v>93</v>
      </c>
      <c r="H132" s="8">
        <v>412</v>
      </c>
      <c r="I132" s="9">
        <f t="shared" si="3"/>
        <v>4.3083165148647381E-3</v>
      </c>
    </row>
    <row r="133" spans="2:9">
      <c r="B133" s="7">
        <v>2005</v>
      </c>
      <c r="C133" s="7" t="s">
        <v>117</v>
      </c>
      <c r="D133" s="7" t="s">
        <v>118</v>
      </c>
      <c r="E133" s="7" t="s">
        <v>10</v>
      </c>
      <c r="F133" s="7" t="s">
        <v>94</v>
      </c>
      <c r="G133" s="7" t="s">
        <v>95</v>
      </c>
      <c r="H133" s="8">
        <v>187</v>
      </c>
      <c r="I133" s="9">
        <f t="shared" si="3"/>
        <v>1.9554737579604515E-3</v>
      </c>
    </row>
    <row r="134" spans="2:9">
      <c r="B134" s="7">
        <v>2005</v>
      </c>
      <c r="C134" s="7" t="s">
        <v>117</v>
      </c>
      <c r="D134" s="7" t="s">
        <v>119</v>
      </c>
      <c r="E134" s="7" t="s">
        <v>9</v>
      </c>
      <c r="F134" s="7" t="s">
        <v>92</v>
      </c>
      <c r="G134" s="7" t="s">
        <v>93</v>
      </c>
      <c r="H134" s="8">
        <v>183</v>
      </c>
      <c r="I134" s="9">
        <f t="shared" si="3"/>
        <v>1.9136454422821528E-3</v>
      </c>
    </row>
    <row r="135" spans="2:9">
      <c r="B135" s="7">
        <v>2005</v>
      </c>
      <c r="C135" s="7" t="s">
        <v>117</v>
      </c>
      <c r="D135" s="7" t="s">
        <v>119</v>
      </c>
      <c r="E135" s="7" t="s">
        <v>9</v>
      </c>
      <c r="F135" s="7" t="s">
        <v>92</v>
      </c>
      <c r="G135" s="7" t="s">
        <v>95</v>
      </c>
      <c r="H135" s="8">
        <v>89</v>
      </c>
      <c r="I135" s="9">
        <f t="shared" si="3"/>
        <v>9.3068002384213999E-4</v>
      </c>
    </row>
    <row r="136" spans="2:9">
      <c r="B136" s="7">
        <v>2005</v>
      </c>
      <c r="C136" s="7" t="s">
        <v>117</v>
      </c>
      <c r="D136" s="7" t="s">
        <v>119</v>
      </c>
      <c r="E136" s="7" t="s">
        <v>9</v>
      </c>
      <c r="F136" s="7" t="s">
        <v>94</v>
      </c>
      <c r="G136" s="7" t="s">
        <v>93</v>
      </c>
      <c r="H136" s="8">
        <v>6070</v>
      </c>
      <c r="I136" s="9">
        <f t="shared" si="3"/>
        <v>6.347446904181786E-2</v>
      </c>
    </row>
    <row r="137" spans="2:9">
      <c r="B137" s="7">
        <v>2005</v>
      </c>
      <c r="C137" s="7" t="s">
        <v>117</v>
      </c>
      <c r="D137" s="7" t="s">
        <v>119</v>
      </c>
      <c r="E137" s="7" t="s">
        <v>9</v>
      </c>
      <c r="F137" s="7" t="s">
        <v>94</v>
      </c>
      <c r="G137" s="7" t="s">
        <v>95</v>
      </c>
      <c r="H137" s="8">
        <v>3164</v>
      </c>
      <c r="I137" s="9">
        <f t="shared" si="3"/>
        <v>3.3086197701534051E-2</v>
      </c>
    </row>
    <row r="138" spans="2:9">
      <c r="B138" s="7">
        <v>2005</v>
      </c>
      <c r="C138" s="7" t="s">
        <v>117</v>
      </c>
      <c r="D138" s="7" t="s">
        <v>119</v>
      </c>
      <c r="E138" s="7" t="s">
        <v>10</v>
      </c>
      <c r="F138" s="7" t="s">
        <v>94</v>
      </c>
      <c r="G138" s="7" t="s">
        <v>93</v>
      </c>
      <c r="H138" s="8">
        <v>3716</v>
      </c>
      <c r="I138" s="9">
        <f t="shared" si="3"/>
        <v>3.8858505265139238E-2</v>
      </c>
    </row>
    <row r="139" spans="2:9">
      <c r="B139" s="7">
        <v>2005</v>
      </c>
      <c r="C139" s="7" t="s">
        <v>117</v>
      </c>
      <c r="D139" s="7" t="s">
        <v>119</v>
      </c>
      <c r="E139" s="7" t="s">
        <v>10</v>
      </c>
      <c r="F139" s="7" t="s">
        <v>94</v>
      </c>
      <c r="G139" s="7" t="s">
        <v>95</v>
      </c>
      <c r="H139" s="8">
        <v>2035</v>
      </c>
      <c r="I139" s="9">
        <f t="shared" si="3"/>
        <v>2.1280155601334325E-2</v>
      </c>
    </row>
    <row r="140" spans="2:9">
      <c r="B140" s="7">
        <v>2005</v>
      </c>
      <c r="C140" s="7" t="s">
        <v>117</v>
      </c>
      <c r="D140" s="7" t="s">
        <v>120</v>
      </c>
      <c r="E140" s="7" t="s">
        <v>9</v>
      </c>
      <c r="F140" s="7" t="s">
        <v>92</v>
      </c>
      <c r="G140" s="7" t="s">
        <v>93</v>
      </c>
      <c r="H140" s="8">
        <v>6</v>
      </c>
      <c r="I140" s="9">
        <f t="shared" ref="I140:I171" si="4">IFERROR(H140/$B$8,0)</f>
        <v>6.2742473517447641E-5</v>
      </c>
    </row>
    <row r="141" spans="2:9">
      <c r="B141" s="7">
        <v>2005</v>
      </c>
      <c r="C141" s="7" t="s">
        <v>117</v>
      </c>
      <c r="D141" s="7" t="s">
        <v>120</v>
      </c>
      <c r="E141" s="7" t="s">
        <v>9</v>
      </c>
      <c r="F141" s="7" t="s">
        <v>92</v>
      </c>
      <c r="G141" s="7" t="s">
        <v>95</v>
      </c>
      <c r="H141" s="8">
        <v>6</v>
      </c>
      <c r="I141" s="9">
        <f t="shared" si="4"/>
        <v>6.2742473517447641E-5</v>
      </c>
    </row>
    <row r="142" spans="2:9">
      <c r="B142" s="7">
        <v>2005</v>
      </c>
      <c r="C142" s="7" t="s">
        <v>117</v>
      </c>
      <c r="D142" s="7" t="s">
        <v>120</v>
      </c>
      <c r="E142" s="7" t="s">
        <v>9</v>
      </c>
      <c r="F142" s="7" t="s">
        <v>94</v>
      </c>
      <c r="G142" s="7" t="s">
        <v>93</v>
      </c>
      <c r="H142" s="8">
        <v>3399</v>
      </c>
      <c r="I142" s="9">
        <f t="shared" si="4"/>
        <v>3.5543611247634083E-2</v>
      </c>
    </row>
    <row r="143" spans="2:9">
      <c r="B143" s="7">
        <v>2005</v>
      </c>
      <c r="C143" s="7" t="s">
        <v>117</v>
      </c>
      <c r="D143" s="7" t="s">
        <v>120</v>
      </c>
      <c r="E143" s="7" t="s">
        <v>9</v>
      </c>
      <c r="F143" s="7" t="s">
        <v>94</v>
      </c>
      <c r="G143" s="7" t="s">
        <v>95</v>
      </c>
      <c r="H143" s="8">
        <v>2257</v>
      </c>
      <c r="I143" s="9">
        <f t="shared" si="4"/>
        <v>2.3601627121479885E-2</v>
      </c>
    </row>
    <row r="144" spans="2:9">
      <c r="B144" s="7">
        <v>2005</v>
      </c>
      <c r="C144" s="7" t="s">
        <v>117</v>
      </c>
      <c r="D144" s="7" t="s">
        <v>120</v>
      </c>
      <c r="E144" s="7" t="s">
        <v>10</v>
      </c>
      <c r="F144" s="7" t="s">
        <v>94</v>
      </c>
      <c r="G144" s="7" t="s">
        <v>93</v>
      </c>
      <c r="H144" s="8">
        <v>779</v>
      </c>
      <c r="I144" s="9">
        <f t="shared" si="4"/>
        <v>8.1460644783486174E-3</v>
      </c>
    </row>
    <row r="145" spans="2:9">
      <c r="B145" s="7">
        <v>2005</v>
      </c>
      <c r="C145" s="7" t="s">
        <v>117</v>
      </c>
      <c r="D145" s="7" t="s">
        <v>120</v>
      </c>
      <c r="E145" s="7" t="s">
        <v>10</v>
      </c>
      <c r="F145" s="7" t="s">
        <v>94</v>
      </c>
      <c r="G145" s="7" t="s">
        <v>95</v>
      </c>
      <c r="H145" s="8">
        <v>399</v>
      </c>
      <c r="I145" s="9">
        <f t="shared" si="4"/>
        <v>4.1723744889102677E-3</v>
      </c>
    </row>
    <row r="146" spans="2:9">
      <c r="B146" s="7">
        <v>2005</v>
      </c>
      <c r="C146" s="7" t="s">
        <v>117</v>
      </c>
      <c r="D146" s="7" t="s">
        <v>121</v>
      </c>
      <c r="E146" s="7" t="s">
        <v>9</v>
      </c>
      <c r="F146" s="7" t="s">
        <v>92</v>
      </c>
      <c r="G146" s="7" t="s">
        <v>93</v>
      </c>
      <c r="H146" s="8">
        <v>55</v>
      </c>
      <c r="I146" s="9">
        <f t="shared" si="4"/>
        <v>5.7513934057660328E-4</v>
      </c>
    </row>
    <row r="147" spans="2:9">
      <c r="B147" s="7">
        <v>2005</v>
      </c>
      <c r="C147" s="7" t="s">
        <v>117</v>
      </c>
      <c r="D147" s="7" t="s">
        <v>121</v>
      </c>
      <c r="E147" s="7" t="s">
        <v>9</v>
      </c>
      <c r="F147" s="7" t="s">
        <v>92</v>
      </c>
      <c r="G147" s="7" t="s">
        <v>95</v>
      </c>
      <c r="H147" s="8">
        <v>29</v>
      </c>
      <c r="I147" s="9">
        <f t="shared" si="4"/>
        <v>3.0325528866766355E-4</v>
      </c>
    </row>
    <row r="148" spans="2:9">
      <c r="B148" s="7">
        <v>2005</v>
      </c>
      <c r="C148" s="7" t="s">
        <v>117</v>
      </c>
      <c r="D148" s="7" t="s">
        <v>121</v>
      </c>
      <c r="E148" s="7" t="s">
        <v>9</v>
      </c>
      <c r="F148" s="7" t="s">
        <v>94</v>
      </c>
      <c r="G148" s="7" t="s">
        <v>93</v>
      </c>
      <c r="H148" s="8">
        <v>12180</v>
      </c>
      <c r="I148" s="9">
        <f t="shared" si="4"/>
        <v>0.12736722124041869</v>
      </c>
    </row>
    <row r="149" spans="2:9">
      <c r="B149" s="7">
        <v>2005</v>
      </c>
      <c r="C149" s="7" t="s">
        <v>117</v>
      </c>
      <c r="D149" s="7" t="s">
        <v>121</v>
      </c>
      <c r="E149" s="7" t="s">
        <v>9</v>
      </c>
      <c r="F149" s="7" t="s">
        <v>94</v>
      </c>
      <c r="G149" s="7" t="s">
        <v>95</v>
      </c>
      <c r="H149" s="8">
        <v>7657</v>
      </c>
      <c r="I149" s="9">
        <f t="shared" si="4"/>
        <v>8.006985328718276E-2</v>
      </c>
    </row>
    <row r="150" spans="2:9">
      <c r="B150" s="7">
        <v>2005</v>
      </c>
      <c r="C150" s="7" t="s">
        <v>117</v>
      </c>
      <c r="D150" s="7" t="s">
        <v>121</v>
      </c>
      <c r="E150" s="7" t="s">
        <v>10</v>
      </c>
      <c r="F150" s="7" t="s">
        <v>92</v>
      </c>
      <c r="G150" s="7" t="s">
        <v>95</v>
      </c>
      <c r="H150" s="8">
        <v>1</v>
      </c>
      <c r="I150" s="9">
        <f t="shared" si="4"/>
        <v>1.0457078919574606E-5</v>
      </c>
    </row>
    <row r="151" spans="2:9">
      <c r="B151" s="7">
        <v>2005</v>
      </c>
      <c r="C151" s="7" t="s">
        <v>117</v>
      </c>
      <c r="D151" s="7" t="s">
        <v>121</v>
      </c>
      <c r="E151" s="7" t="s">
        <v>10</v>
      </c>
      <c r="F151" s="7" t="s">
        <v>94</v>
      </c>
      <c r="G151" s="7" t="s">
        <v>93</v>
      </c>
      <c r="H151" s="8">
        <v>5073</v>
      </c>
      <c r="I151" s="9">
        <f t="shared" si="4"/>
        <v>5.3048761359001974E-2</v>
      </c>
    </row>
    <row r="152" spans="2:9">
      <c r="B152" s="7">
        <v>2005</v>
      </c>
      <c r="C152" s="7" t="s">
        <v>117</v>
      </c>
      <c r="D152" s="7" t="s">
        <v>121</v>
      </c>
      <c r="E152" s="7" t="s">
        <v>10</v>
      </c>
      <c r="F152" s="7" t="s">
        <v>94</v>
      </c>
      <c r="G152" s="7" t="s">
        <v>95</v>
      </c>
      <c r="H152" s="8">
        <v>2955</v>
      </c>
      <c r="I152" s="9">
        <f t="shared" si="4"/>
        <v>3.0900668207342961E-2</v>
      </c>
    </row>
    <row r="153" spans="2:9">
      <c r="B153" s="7">
        <v>2005</v>
      </c>
      <c r="C153" s="7" t="s">
        <v>122</v>
      </c>
      <c r="D153" s="7" t="s">
        <v>123</v>
      </c>
      <c r="E153" s="7" t="s">
        <v>9</v>
      </c>
      <c r="F153" s="7" t="s">
        <v>92</v>
      </c>
      <c r="G153" s="7" t="s">
        <v>93</v>
      </c>
      <c r="H153" s="8">
        <v>316</v>
      </c>
      <c r="I153" s="9">
        <f t="shared" si="4"/>
        <v>3.3044369385855756E-3</v>
      </c>
    </row>
    <row r="154" spans="2:9">
      <c r="B154" s="7">
        <v>2005</v>
      </c>
      <c r="C154" s="7" t="s">
        <v>122</v>
      </c>
      <c r="D154" s="7" t="s">
        <v>123</v>
      </c>
      <c r="E154" s="7" t="s">
        <v>9</v>
      </c>
      <c r="F154" s="7" t="s">
        <v>92</v>
      </c>
      <c r="G154" s="7" t="s">
        <v>95</v>
      </c>
      <c r="H154" s="8">
        <v>106</v>
      </c>
      <c r="I154" s="9">
        <f t="shared" si="4"/>
        <v>1.1084503654749083E-3</v>
      </c>
    </row>
    <row r="155" spans="2:9">
      <c r="B155" s="7">
        <v>2005</v>
      </c>
      <c r="C155" s="7" t="s">
        <v>122</v>
      </c>
      <c r="D155" s="7" t="s">
        <v>123</v>
      </c>
      <c r="E155" s="7" t="s">
        <v>9</v>
      </c>
      <c r="F155" s="7" t="s">
        <v>94</v>
      </c>
      <c r="G155" s="7" t="s">
        <v>93</v>
      </c>
      <c r="H155" s="8">
        <v>2815</v>
      </c>
      <c r="I155" s="9">
        <f t="shared" si="4"/>
        <v>2.9436677158602514E-2</v>
      </c>
    </row>
    <row r="156" spans="2:9">
      <c r="B156" s="7">
        <v>2005</v>
      </c>
      <c r="C156" s="7" t="s">
        <v>122</v>
      </c>
      <c r="D156" s="7" t="s">
        <v>123</v>
      </c>
      <c r="E156" s="7" t="s">
        <v>9</v>
      </c>
      <c r="F156" s="7" t="s">
        <v>94</v>
      </c>
      <c r="G156" s="7" t="s">
        <v>95</v>
      </c>
      <c r="H156" s="8">
        <v>1867</v>
      </c>
      <c r="I156" s="9">
        <f t="shared" si="4"/>
        <v>1.952336634284579E-2</v>
      </c>
    </row>
    <row r="157" spans="2:9">
      <c r="B157" s="7">
        <v>2005</v>
      </c>
      <c r="C157" s="7" t="s">
        <v>122</v>
      </c>
      <c r="D157" s="7" t="s">
        <v>123</v>
      </c>
      <c r="E157" s="7" t="s">
        <v>10</v>
      </c>
      <c r="F157" s="7" t="s">
        <v>92</v>
      </c>
      <c r="G157" s="7" t="s">
        <v>93</v>
      </c>
      <c r="H157" s="8">
        <v>42</v>
      </c>
      <c r="I157" s="9">
        <f t="shared" si="4"/>
        <v>4.3919731462213347E-4</v>
      </c>
    </row>
    <row r="158" spans="2:9">
      <c r="B158" s="7">
        <v>2005</v>
      </c>
      <c r="C158" s="7" t="s">
        <v>122</v>
      </c>
      <c r="D158" s="7" t="s">
        <v>123</v>
      </c>
      <c r="E158" s="7" t="s">
        <v>10</v>
      </c>
      <c r="F158" s="7" t="s">
        <v>92</v>
      </c>
      <c r="G158" s="7" t="s">
        <v>95</v>
      </c>
      <c r="H158" s="8">
        <v>30</v>
      </c>
      <c r="I158" s="9">
        <f t="shared" si="4"/>
        <v>3.1371236758723816E-4</v>
      </c>
    </row>
    <row r="159" spans="2:9">
      <c r="B159" s="7">
        <v>2005</v>
      </c>
      <c r="C159" s="7" t="s">
        <v>122</v>
      </c>
      <c r="D159" s="7" t="s">
        <v>123</v>
      </c>
      <c r="E159" s="7" t="s">
        <v>10</v>
      </c>
      <c r="F159" s="7" t="s">
        <v>94</v>
      </c>
      <c r="G159" s="7" t="s">
        <v>93</v>
      </c>
      <c r="H159" s="8">
        <v>1436</v>
      </c>
      <c r="I159" s="9">
        <f t="shared" si="4"/>
        <v>1.5016365328509135E-2</v>
      </c>
    </row>
    <row r="160" spans="2:9">
      <c r="B160" s="7">
        <v>2005</v>
      </c>
      <c r="C160" s="7" t="s">
        <v>122</v>
      </c>
      <c r="D160" s="7" t="s">
        <v>123</v>
      </c>
      <c r="E160" s="7" t="s">
        <v>10</v>
      </c>
      <c r="F160" s="7" t="s">
        <v>94</v>
      </c>
      <c r="G160" s="7" t="s">
        <v>95</v>
      </c>
      <c r="H160" s="8">
        <v>924</v>
      </c>
      <c r="I160" s="9">
        <f t="shared" si="4"/>
        <v>9.6623409216869353E-3</v>
      </c>
    </row>
    <row r="161" spans="2:9">
      <c r="B161" s="7">
        <v>2005</v>
      </c>
      <c r="C161" s="7" t="s">
        <v>122</v>
      </c>
      <c r="D161" s="7" t="s">
        <v>124</v>
      </c>
      <c r="E161" s="7" t="s">
        <v>9</v>
      </c>
      <c r="F161" s="7" t="s">
        <v>92</v>
      </c>
      <c r="G161" s="7" t="s">
        <v>93</v>
      </c>
      <c r="H161" s="8">
        <v>122</v>
      </c>
      <c r="I161" s="9">
        <f t="shared" si="4"/>
        <v>1.2757636281881019E-3</v>
      </c>
    </row>
    <row r="162" spans="2:9">
      <c r="B162" s="7">
        <v>2005</v>
      </c>
      <c r="C162" s="7" t="s">
        <v>122</v>
      </c>
      <c r="D162" s="7" t="s">
        <v>124</v>
      </c>
      <c r="E162" s="7" t="s">
        <v>9</v>
      </c>
      <c r="F162" s="7" t="s">
        <v>92</v>
      </c>
      <c r="G162" s="7" t="s">
        <v>95</v>
      </c>
      <c r="H162" s="8">
        <v>25</v>
      </c>
      <c r="I162" s="9">
        <f t="shared" si="4"/>
        <v>2.6142697298936517E-4</v>
      </c>
    </row>
    <row r="163" spans="2:9">
      <c r="B163" s="7">
        <v>2005</v>
      </c>
      <c r="C163" s="7" t="s">
        <v>122</v>
      </c>
      <c r="D163" s="7" t="s">
        <v>124</v>
      </c>
      <c r="E163" s="7" t="s">
        <v>9</v>
      </c>
      <c r="F163" s="7" t="s">
        <v>94</v>
      </c>
      <c r="G163" s="7" t="s">
        <v>93</v>
      </c>
      <c r="H163" s="8">
        <v>3831</v>
      </c>
      <c r="I163" s="9">
        <f t="shared" si="4"/>
        <v>4.0061069340890314E-2</v>
      </c>
    </row>
    <row r="164" spans="2:9">
      <c r="B164" s="7">
        <v>2005</v>
      </c>
      <c r="C164" s="7" t="s">
        <v>122</v>
      </c>
      <c r="D164" s="7" t="s">
        <v>124</v>
      </c>
      <c r="E164" s="7" t="s">
        <v>9</v>
      </c>
      <c r="F164" s="7" t="s">
        <v>94</v>
      </c>
      <c r="G164" s="7" t="s">
        <v>95</v>
      </c>
      <c r="H164" s="8">
        <v>2052</v>
      </c>
      <c r="I164" s="9">
        <f t="shared" si="4"/>
        <v>2.1457925942967093E-2</v>
      </c>
    </row>
    <row r="165" spans="2:9">
      <c r="B165" s="7">
        <v>2005</v>
      </c>
      <c r="C165" s="7" t="s">
        <v>122</v>
      </c>
      <c r="D165" s="7" t="s">
        <v>124</v>
      </c>
      <c r="E165" s="7" t="s">
        <v>10</v>
      </c>
      <c r="F165" s="7" t="s">
        <v>94</v>
      </c>
      <c r="G165" s="7" t="s">
        <v>93</v>
      </c>
      <c r="H165" s="8">
        <v>1195</v>
      </c>
      <c r="I165" s="9">
        <f t="shared" si="4"/>
        <v>1.2496209308891655E-2</v>
      </c>
    </row>
    <row r="166" spans="2:9">
      <c r="B166" s="7">
        <v>2005</v>
      </c>
      <c r="C166" s="7" t="s">
        <v>122</v>
      </c>
      <c r="D166" s="7" t="s">
        <v>124</v>
      </c>
      <c r="E166" s="7" t="s">
        <v>10</v>
      </c>
      <c r="F166" s="7" t="s">
        <v>94</v>
      </c>
      <c r="G166" s="7" t="s">
        <v>95</v>
      </c>
      <c r="H166" s="8">
        <v>577</v>
      </c>
      <c r="I166" s="9">
        <f t="shared" si="4"/>
        <v>6.0337345365945481E-3</v>
      </c>
    </row>
    <row r="167" spans="2:9">
      <c r="B167" s="7">
        <v>2005</v>
      </c>
      <c r="C167" s="7" t="s">
        <v>122</v>
      </c>
      <c r="D167" s="7" t="s">
        <v>125</v>
      </c>
      <c r="E167" s="7" t="s">
        <v>9</v>
      </c>
      <c r="F167" s="7" t="s">
        <v>92</v>
      </c>
      <c r="G167" s="7" t="s">
        <v>93</v>
      </c>
      <c r="H167" s="8">
        <v>57</v>
      </c>
      <c r="I167" s="9">
        <f t="shared" si="4"/>
        <v>5.960534984157525E-4</v>
      </c>
    </row>
    <row r="168" spans="2:9">
      <c r="B168" s="7">
        <v>2005</v>
      </c>
      <c r="C168" s="7" t="s">
        <v>122</v>
      </c>
      <c r="D168" s="7" t="s">
        <v>125</v>
      </c>
      <c r="E168" s="7" t="s">
        <v>9</v>
      </c>
      <c r="F168" s="7" t="s">
        <v>92</v>
      </c>
      <c r="G168" s="7" t="s">
        <v>95</v>
      </c>
      <c r="H168" s="8">
        <v>19</v>
      </c>
      <c r="I168" s="9">
        <f t="shared" si="4"/>
        <v>1.9868449947191752E-4</v>
      </c>
    </row>
    <row r="169" spans="2:9">
      <c r="B169" s="7">
        <v>2005</v>
      </c>
      <c r="C169" s="7" t="s">
        <v>122</v>
      </c>
      <c r="D169" s="7" t="s">
        <v>125</v>
      </c>
      <c r="E169" s="7" t="s">
        <v>9</v>
      </c>
      <c r="F169" s="7" t="s">
        <v>94</v>
      </c>
      <c r="G169" s="7" t="s">
        <v>93</v>
      </c>
      <c r="H169" s="8">
        <v>625</v>
      </c>
      <c r="I169" s="9">
        <f t="shared" si="4"/>
        <v>6.5356743247341285E-3</v>
      </c>
    </row>
    <row r="170" spans="2:9">
      <c r="B170" s="7">
        <v>2005</v>
      </c>
      <c r="C170" s="7" t="s">
        <v>122</v>
      </c>
      <c r="D170" s="7" t="s">
        <v>125</v>
      </c>
      <c r="E170" s="7" t="s">
        <v>9</v>
      </c>
      <c r="F170" s="7" t="s">
        <v>94</v>
      </c>
      <c r="G170" s="7" t="s">
        <v>95</v>
      </c>
      <c r="H170" s="8">
        <v>353</v>
      </c>
      <c r="I170" s="9">
        <f t="shared" si="4"/>
        <v>3.6913488586098361E-3</v>
      </c>
    </row>
    <row r="171" spans="2:9">
      <c r="B171" s="7">
        <v>2005</v>
      </c>
      <c r="C171" s="7" t="s">
        <v>122</v>
      </c>
      <c r="D171" s="7" t="s">
        <v>125</v>
      </c>
      <c r="E171" s="7" t="s">
        <v>10</v>
      </c>
      <c r="F171" s="7" t="s">
        <v>92</v>
      </c>
      <c r="G171" s="7" t="s">
        <v>93</v>
      </c>
      <c r="H171" s="8">
        <v>4</v>
      </c>
      <c r="I171" s="9">
        <f t="shared" si="4"/>
        <v>4.1828315678298423E-5</v>
      </c>
    </row>
    <row r="172" spans="2:9">
      <c r="B172" s="7">
        <v>2005</v>
      </c>
      <c r="C172" s="7" t="s">
        <v>122</v>
      </c>
      <c r="D172" s="7" t="s">
        <v>125</v>
      </c>
      <c r="E172" s="7" t="s">
        <v>10</v>
      </c>
      <c r="F172" s="7" t="s">
        <v>92</v>
      </c>
      <c r="G172" s="7" t="s">
        <v>95</v>
      </c>
      <c r="H172" s="8">
        <v>1</v>
      </c>
      <c r="I172" s="9">
        <f t="shared" ref="I172:I203" si="5">IFERROR(H172/$B$8,0)</f>
        <v>1.0457078919574606E-5</v>
      </c>
    </row>
    <row r="173" spans="2:9">
      <c r="B173" s="7">
        <v>2005</v>
      </c>
      <c r="C173" s="7" t="s">
        <v>122</v>
      </c>
      <c r="D173" s="7" t="s">
        <v>125</v>
      </c>
      <c r="E173" s="7" t="s">
        <v>10</v>
      </c>
      <c r="F173" s="7" t="s">
        <v>94</v>
      </c>
      <c r="G173" s="7" t="s">
        <v>93</v>
      </c>
      <c r="H173" s="8">
        <v>335</v>
      </c>
      <c r="I173" s="9">
        <f t="shared" si="5"/>
        <v>3.5031214380574932E-3</v>
      </c>
    </row>
    <row r="174" spans="2:9">
      <c r="B174" s="7">
        <v>2005</v>
      </c>
      <c r="C174" s="7" t="s">
        <v>122</v>
      </c>
      <c r="D174" s="7" t="s">
        <v>125</v>
      </c>
      <c r="E174" s="7" t="s">
        <v>10</v>
      </c>
      <c r="F174" s="7" t="s">
        <v>94</v>
      </c>
      <c r="G174" s="7" t="s">
        <v>95</v>
      </c>
      <c r="H174" s="8">
        <v>194</v>
      </c>
      <c r="I174" s="9">
        <f t="shared" si="5"/>
        <v>2.0286733103974737E-3</v>
      </c>
    </row>
    <row r="175" spans="2:9">
      <c r="B175" s="7">
        <v>2005</v>
      </c>
      <c r="C175" s="7" t="s">
        <v>126</v>
      </c>
      <c r="D175" s="7" t="s">
        <v>127</v>
      </c>
      <c r="E175" s="7" t="s">
        <v>9</v>
      </c>
      <c r="F175" s="7" t="s">
        <v>92</v>
      </c>
      <c r="G175" s="7" t="s">
        <v>93</v>
      </c>
      <c r="H175" s="8">
        <v>10</v>
      </c>
      <c r="I175" s="9">
        <f t="shared" si="5"/>
        <v>1.0457078919574606E-4</v>
      </c>
    </row>
    <row r="176" spans="2:9">
      <c r="B176" s="7">
        <v>2005</v>
      </c>
      <c r="C176" s="7" t="s">
        <v>126</v>
      </c>
      <c r="D176" s="7" t="s">
        <v>127</v>
      </c>
      <c r="E176" s="7" t="s">
        <v>9</v>
      </c>
      <c r="F176" s="7" t="s">
        <v>92</v>
      </c>
      <c r="G176" s="7" t="s">
        <v>95</v>
      </c>
      <c r="H176" s="8">
        <v>3</v>
      </c>
      <c r="I176" s="9">
        <f t="shared" si="5"/>
        <v>3.137123675872382E-5</v>
      </c>
    </row>
    <row r="177" spans="2:9">
      <c r="B177" s="7">
        <v>2005</v>
      </c>
      <c r="C177" s="7" t="s">
        <v>126</v>
      </c>
      <c r="D177" s="7" t="s">
        <v>127</v>
      </c>
      <c r="E177" s="7" t="s">
        <v>9</v>
      </c>
      <c r="F177" s="7" t="s">
        <v>94</v>
      </c>
      <c r="G177" s="7" t="s">
        <v>93</v>
      </c>
      <c r="H177" s="8">
        <v>88</v>
      </c>
      <c r="I177" s="9">
        <f t="shared" si="5"/>
        <v>9.2022294492256538E-4</v>
      </c>
    </row>
    <row r="178" spans="2:9">
      <c r="B178" s="7">
        <v>2005</v>
      </c>
      <c r="C178" s="7" t="s">
        <v>126</v>
      </c>
      <c r="D178" s="7" t="s">
        <v>127</v>
      </c>
      <c r="E178" s="7" t="s">
        <v>9</v>
      </c>
      <c r="F178" s="7" t="s">
        <v>94</v>
      </c>
      <c r="G178" s="7" t="s">
        <v>95</v>
      </c>
      <c r="H178" s="8">
        <v>65</v>
      </c>
      <c r="I178" s="9">
        <f t="shared" si="5"/>
        <v>6.7971012977234937E-4</v>
      </c>
    </row>
    <row r="179" spans="2:9">
      <c r="B179" s="7">
        <v>2005</v>
      </c>
      <c r="C179" s="7" t="s">
        <v>126</v>
      </c>
      <c r="D179" s="7" t="s">
        <v>127</v>
      </c>
      <c r="E179" s="7" t="s">
        <v>10</v>
      </c>
      <c r="F179" s="7" t="s">
        <v>94</v>
      </c>
      <c r="G179" s="7" t="s">
        <v>93</v>
      </c>
      <c r="H179" s="8">
        <v>59</v>
      </c>
      <c r="I179" s="9">
        <f t="shared" si="5"/>
        <v>6.1696765625490172E-4</v>
      </c>
    </row>
    <row r="180" spans="2:9">
      <c r="B180" s="7">
        <v>2005</v>
      </c>
      <c r="C180" s="7" t="s">
        <v>126</v>
      </c>
      <c r="D180" s="7" t="s">
        <v>127</v>
      </c>
      <c r="E180" s="7" t="s">
        <v>10</v>
      </c>
      <c r="F180" s="7" t="s">
        <v>94</v>
      </c>
      <c r="G180" s="7" t="s">
        <v>95</v>
      </c>
      <c r="H180" s="8">
        <v>41</v>
      </c>
      <c r="I180" s="9">
        <f t="shared" si="5"/>
        <v>4.2874023570255886E-4</v>
      </c>
    </row>
    <row r="182" spans="2:9">
      <c r="B182" s="47" t="s">
        <v>128</v>
      </c>
      <c r="C182" s="47"/>
      <c r="D182" s="47"/>
      <c r="E182" s="47"/>
      <c r="F182" s="47"/>
      <c r="G182" s="47"/>
      <c r="H182" s="47"/>
      <c r="I182" s="47"/>
    </row>
  </sheetData>
  <mergeCells count="7">
    <mergeCell ref="B182:I182"/>
    <mergeCell ref="B1:I2"/>
    <mergeCell ref="B3:I3"/>
    <mergeCell ref="B5:I5"/>
    <mergeCell ref="B7:C7"/>
    <mergeCell ref="E7:F7"/>
    <mergeCell ref="H7:I7"/>
  </mergeCells>
  <hyperlinks>
    <hyperlink ref="A4" location="'Dashboard'!B11" display="← DASHBOARD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3"/>
  <sheetViews>
    <sheetView workbookViewId="0">
      <pane ySplit="11" topLeftCell="A12" activePane="bottomLeft" state="frozen"/>
      <selection pane="bottomLeft" activeCell="B11" sqref="B11"/>
    </sheetView>
  </sheetViews>
  <sheetFormatPr baseColWidth="10" defaultColWidth="8.83203125" defaultRowHeight="14"/>
  <cols>
    <col min="1" max="1" width="4" customWidth="1"/>
    <col min="2" max="2" width="12" customWidth="1"/>
    <col min="3" max="3" width="20" customWidth="1"/>
    <col min="4" max="4" width="9" customWidth="1"/>
    <col min="5" max="5" width="19" customWidth="1"/>
    <col min="6" max="6" width="16" customWidth="1"/>
    <col min="7" max="8" width="17" customWidth="1"/>
    <col min="9" max="9" width="14" customWidth="1"/>
  </cols>
  <sheetData>
    <row r="1" spans="1:9">
      <c r="A1" s="1"/>
      <c r="B1" s="46" t="s">
        <v>129</v>
      </c>
      <c r="C1" s="46"/>
      <c r="D1" s="46"/>
      <c r="E1" s="46"/>
      <c r="F1" s="46"/>
      <c r="G1" s="46"/>
      <c r="H1" s="46"/>
      <c r="I1" s="46"/>
    </row>
    <row r="2" spans="1:9">
      <c r="A2" s="1"/>
      <c r="B2" s="46"/>
      <c r="C2" s="46"/>
      <c r="D2" s="46"/>
      <c r="E2" s="46"/>
      <c r="F2" s="46"/>
      <c r="G2" s="46"/>
      <c r="H2" s="46"/>
      <c r="I2" s="46"/>
    </row>
    <row r="3" spans="1:9">
      <c r="B3" s="47" t="s">
        <v>56</v>
      </c>
      <c r="C3" s="47"/>
      <c r="D3" s="47"/>
      <c r="E3" s="47"/>
      <c r="F3" s="47"/>
      <c r="G3" s="47"/>
      <c r="H3" s="47"/>
      <c r="I3" s="47"/>
    </row>
    <row r="4" spans="1:9">
      <c r="A4" s="2" t="s">
        <v>57</v>
      </c>
      <c r="B4" s="2"/>
      <c r="C4" s="2"/>
    </row>
    <row r="5" spans="1:9">
      <c r="B5" s="47" t="s">
        <v>79</v>
      </c>
      <c r="C5" s="47"/>
      <c r="D5" s="47"/>
      <c r="E5" s="47"/>
      <c r="F5" s="47"/>
      <c r="G5" s="47"/>
      <c r="H5" s="47"/>
      <c r="I5" s="47"/>
    </row>
    <row r="7" spans="1:9" ht="15">
      <c r="B7" s="51" t="s">
        <v>80</v>
      </c>
      <c r="C7" s="51"/>
      <c r="D7" s="4"/>
      <c r="E7" s="51" t="s">
        <v>81</v>
      </c>
      <c r="F7" s="51"/>
      <c r="G7" s="4"/>
      <c r="H7" s="51" t="s">
        <v>82</v>
      </c>
      <c r="I7" s="51"/>
    </row>
    <row r="8" spans="1:9" ht="19">
      <c r="B8" s="3">
        <v>252650</v>
      </c>
      <c r="C8" s="3"/>
      <c r="D8" s="3"/>
      <c r="E8" s="3">
        <v>185086</v>
      </c>
      <c r="F8" s="3"/>
      <c r="G8" s="3"/>
      <c r="H8" s="3">
        <v>67564</v>
      </c>
      <c r="I8" s="3"/>
    </row>
    <row r="11" spans="1:9" ht="29" customHeight="1">
      <c r="B11" s="6" t="s">
        <v>8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</row>
    <row r="12" spans="1:9">
      <c r="B12" s="7">
        <v>2015</v>
      </c>
      <c r="C12" s="7" t="s">
        <v>90</v>
      </c>
      <c r="D12" s="7" t="s">
        <v>91</v>
      </c>
      <c r="E12" s="7" t="s">
        <v>9</v>
      </c>
      <c r="F12" s="7" t="s">
        <v>92</v>
      </c>
      <c r="G12" s="7" t="s">
        <v>93</v>
      </c>
      <c r="H12" s="8">
        <v>192</v>
      </c>
      <c r="I12" s="9">
        <f t="shared" ref="I12:I75" si="0">IFERROR(H12/$B$8,0)</f>
        <v>7.5994458737383731E-4</v>
      </c>
    </row>
    <row r="13" spans="1:9">
      <c r="B13" s="7">
        <v>2015</v>
      </c>
      <c r="C13" s="7" t="s">
        <v>90</v>
      </c>
      <c r="D13" s="7" t="s">
        <v>91</v>
      </c>
      <c r="E13" s="7" t="s">
        <v>9</v>
      </c>
      <c r="F13" s="7" t="s">
        <v>92</v>
      </c>
      <c r="G13" s="7" t="s">
        <v>95</v>
      </c>
      <c r="H13" s="8">
        <v>165</v>
      </c>
      <c r="I13" s="9">
        <f t="shared" si="0"/>
        <v>6.5307737977439147E-4</v>
      </c>
    </row>
    <row r="14" spans="1:9">
      <c r="B14" s="7">
        <v>2015</v>
      </c>
      <c r="C14" s="7" t="s">
        <v>90</v>
      </c>
      <c r="D14" s="7" t="s">
        <v>91</v>
      </c>
      <c r="E14" s="7" t="s">
        <v>9</v>
      </c>
      <c r="F14" s="7" t="s">
        <v>94</v>
      </c>
      <c r="G14" s="7" t="s">
        <v>93</v>
      </c>
      <c r="H14" s="8">
        <v>125</v>
      </c>
      <c r="I14" s="9">
        <f t="shared" si="0"/>
        <v>4.9475559073817532E-4</v>
      </c>
    </row>
    <row r="15" spans="1:9">
      <c r="B15" s="7">
        <v>2015</v>
      </c>
      <c r="C15" s="7" t="s">
        <v>90</v>
      </c>
      <c r="D15" s="7" t="s">
        <v>91</v>
      </c>
      <c r="E15" s="7" t="s">
        <v>9</v>
      </c>
      <c r="F15" s="7" t="s">
        <v>94</v>
      </c>
      <c r="G15" s="7" t="s">
        <v>95</v>
      </c>
      <c r="H15" s="8">
        <v>104</v>
      </c>
      <c r="I15" s="9">
        <f t="shared" si="0"/>
        <v>4.116366514941619E-4</v>
      </c>
    </row>
    <row r="16" spans="1:9">
      <c r="B16" s="7">
        <v>2015</v>
      </c>
      <c r="C16" s="7" t="s">
        <v>90</v>
      </c>
      <c r="D16" s="7" t="s">
        <v>91</v>
      </c>
      <c r="E16" s="7" t="s">
        <v>10</v>
      </c>
      <c r="F16" s="7" t="s">
        <v>92</v>
      </c>
      <c r="G16" s="7" t="s">
        <v>93</v>
      </c>
      <c r="H16" s="8">
        <v>9</v>
      </c>
      <c r="I16" s="9">
        <f t="shared" si="0"/>
        <v>3.5622402533148624E-5</v>
      </c>
    </row>
    <row r="17" spans="2:9">
      <c r="B17" s="7">
        <v>2015</v>
      </c>
      <c r="C17" s="7" t="s">
        <v>90</v>
      </c>
      <c r="D17" s="7" t="s">
        <v>91</v>
      </c>
      <c r="E17" s="7" t="s">
        <v>10</v>
      </c>
      <c r="F17" s="7" t="s">
        <v>92</v>
      </c>
      <c r="G17" s="7" t="s">
        <v>95</v>
      </c>
      <c r="H17" s="8">
        <v>7</v>
      </c>
      <c r="I17" s="9">
        <f t="shared" si="0"/>
        <v>2.7706313081337818E-5</v>
      </c>
    </row>
    <row r="18" spans="2:9">
      <c r="B18" s="7">
        <v>2015</v>
      </c>
      <c r="C18" s="7" t="s">
        <v>90</v>
      </c>
      <c r="D18" s="7" t="s">
        <v>91</v>
      </c>
      <c r="E18" s="7" t="s">
        <v>10</v>
      </c>
      <c r="F18" s="7" t="s">
        <v>94</v>
      </c>
      <c r="G18" s="7" t="s">
        <v>93</v>
      </c>
      <c r="H18" s="8">
        <v>238</v>
      </c>
      <c r="I18" s="9">
        <f t="shared" si="0"/>
        <v>9.4201464476548582E-4</v>
      </c>
    </row>
    <row r="19" spans="2:9">
      <c r="B19" s="7">
        <v>2015</v>
      </c>
      <c r="C19" s="7" t="s">
        <v>90</v>
      </c>
      <c r="D19" s="7" t="s">
        <v>91</v>
      </c>
      <c r="E19" s="7" t="s">
        <v>10</v>
      </c>
      <c r="F19" s="7" t="s">
        <v>94</v>
      </c>
      <c r="G19" s="7" t="s">
        <v>95</v>
      </c>
      <c r="H19" s="8">
        <v>191</v>
      </c>
      <c r="I19" s="9">
        <f t="shared" si="0"/>
        <v>7.5598654264793196E-4</v>
      </c>
    </row>
    <row r="20" spans="2:9">
      <c r="B20" s="7">
        <v>2015</v>
      </c>
      <c r="C20" s="7" t="s">
        <v>90</v>
      </c>
      <c r="D20" s="7" t="s">
        <v>96</v>
      </c>
      <c r="E20" s="7" t="s">
        <v>9</v>
      </c>
      <c r="F20" s="7" t="s">
        <v>92</v>
      </c>
      <c r="G20" s="7" t="s">
        <v>93</v>
      </c>
      <c r="H20" s="8">
        <v>345</v>
      </c>
      <c r="I20" s="9">
        <f t="shared" si="0"/>
        <v>1.3655254304373639E-3</v>
      </c>
    </row>
    <row r="21" spans="2:9">
      <c r="B21" s="7">
        <v>2015</v>
      </c>
      <c r="C21" s="7" t="s">
        <v>90</v>
      </c>
      <c r="D21" s="7" t="s">
        <v>96</v>
      </c>
      <c r="E21" s="7" t="s">
        <v>9</v>
      </c>
      <c r="F21" s="7" t="s">
        <v>92</v>
      </c>
      <c r="G21" s="7" t="s">
        <v>95</v>
      </c>
      <c r="H21" s="8">
        <v>292</v>
      </c>
      <c r="I21" s="9">
        <f t="shared" si="0"/>
        <v>1.1557490599643776E-3</v>
      </c>
    </row>
    <row r="22" spans="2:9">
      <c r="B22" s="7">
        <v>2015</v>
      </c>
      <c r="C22" s="7" t="s">
        <v>90</v>
      </c>
      <c r="D22" s="7" t="s">
        <v>96</v>
      </c>
      <c r="E22" s="7" t="s">
        <v>9</v>
      </c>
      <c r="F22" s="7" t="s">
        <v>94</v>
      </c>
      <c r="G22" s="7" t="s">
        <v>93</v>
      </c>
      <c r="H22" s="8">
        <v>1377</v>
      </c>
      <c r="I22" s="9">
        <f t="shared" si="0"/>
        <v>5.4502275875717397E-3</v>
      </c>
    </row>
    <row r="23" spans="2:9">
      <c r="B23" s="7">
        <v>2015</v>
      </c>
      <c r="C23" s="7" t="s">
        <v>90</v>
      </c>
      <c r="D23" s="7" t="s">
        <v>96</v>
      </c>
      <c r="E23" s="7" t="s">
        <v>9</v>
      </c>
      <c r="F23" s="7" t="s">
        <v>94</v>
      </c>
      <c r="G23" s="7" t="s">
        <v>95</v>
      </c>
      <c r="H23" s="8">
        <v>1474</v>
      </c>
      <c r="I23" s="9">
        <f t="shared" si="0"/>
        <v>5.8341579259845637E-3</v>
      </c>
    </row>
    <row r="24" spans="2:9">
      <c r="B24" s="7">
        <v>2015</v>
      </c>
      <c r="C24" s="7" t="s">
        <v>90</v>
      </c>
      <c r="D24" s="7" t="s">
        <v>96</v>
      </c>
      <c r="E24" s="7" t="s">
        <v>10</v>
      </c>
      <c r="F24" s="7" t="s">
        <v>92</v>
      </c>
      <c r="G24" s="7" t="s">
        <v>93</v>
      </c>
      <c r="H24" s="8">
        <v>2</v>
      </c>
      <c r="I24" s="9">
        <f t="shared" si="0"/>
        <v>7.9160894518108048E-6</v>
      </c>
    </row>
    <row r="25" spans="2:9">
      <c r="B25" s="7">
        <v>2015</v>
      </c>
      <c r="C25" s="7" t="s">
        <v>90</v>
      </c>
      <c r="D25" s="7" t="s">
        <v>96</v>
      </c>
      <c r="E25" s="7" t="s">
        <v>10</v>
      </c>
      <c r="F25" s="7" t="s">
        <v>92</v>
      </c>
      <c r="G25" s="7" t="s">
        <v>95</v>
      </c>
      <c r="H25" s="8">
        <v>5</v>
      </c>
      <c r="I25" s="9">
        <f t="shared" si="0"/>
        <v>1.9790223629527014E-5</v>
      </c>
    </row>
    <row r="26" spans="2:9">
      <c r="B26" s="7">
        <v>2015</v>
      </c>
      <c r="C26" s="7" t="s">
        <v>90</v>
      </c>
      <c r="D26" s="7" t="s">
        <v>96</v>
      </c>
      <c r="E26" s="7" t="s">
        <v>10</v>
      </c>
      <c r="F26" s="7" t="s">
        <v>94</v>
      </c>
      <c r="G26" s="7" t="s">
        <v>93</v>
      </c>
      <c r="H26" s="8">
        <v>675</v>
      </c>
      <c r="I26" s="9">
        <f t="shared" si="0"/>
        <v>2.6716801899861467E-3</v>
      </c>
    </row>
    <row r="27" spans="2:9">
      <c r="B27" s="7">
        <v>2015</v>
      </c>
      <c r="C27" s="7" t="s">
        <v>90</v>
      </c>
      <c r="D27" s="7" t="s">
        <v>96</v>
      </c>
      <c r="E27" s="7" t="s">
        <v>10</v>
      </c>
      <c r="F27" s="7" t="s">
        <v>94</v>
      </c>
      <c r="G27" s="7" t="s">
        <v>95</v>
      </c>
      <c r="H27" s="8">
        <v>577</v>
      </c>
      <c r="I27" s="9">
        <f t="shared" si="0"/>
        <v>2.2837918068474173E-3</v>
      </c>
    </row>
    <row r="28" spans="2:9">
      <c r="B28" s="7">
        <v>2015</v>
      </c>
      <c r="C28" s="7" t="s">
        <v>90</v>
      </c>
      <c r="D28" s="7" t="s">
        <v>97</v>
      </c>
      <c r="E28" s="7" t="s">
        <v>9</v>
      </c>
      <c r="F28" s="7" t="s">
        <v>92</v>
      </c>
      <c r="G28" s="7" t="s">
        <v>93</v>
      </c>
      <c r="H28" s="8">
        <v>115</v>
      </c>
      <c r="I28" s="9">
        <f t="shared" si="0"/>
        <v>4.5517514347912132E-4</v>
      </c>
    </row>
    <row r="29" spans="2:9">
      <c r="B29" s="7">
        <v>2015</v>
      </c>
      <c r="C29" s="7" t="s">
        <v>90</v>
      </c>
      <c r="D29" s="7" t="s">
        <v>97</v>
      </c>
      <c r="E29" s="7" t="s">
        <v>9</v>
      </c>
      <c r="F29" s="7" t="s">
        <v>92</v>
      </c>
      <c r="G29" s="7" t="s">
        <v>95</v>
      </c>
      <c r="H29" s="8">
        <v>108</v>
      </c>
      <c r="I29" s="9">
        <f t="shared" si="0"/>
        <v>4.2746883039778349E-4</v>
      </c>
    </row>
    <row r="30" spans="2:9">
      <c r="B30" s="7">
        <v>2015</v>
      </c>
      <c r="C30" s="7" t="s">
        <v>90</v>
      </c>
      <c r="D30" s="7" t="s">
        <v>97</v>
      </c>
      <c r="E30" s="7" t="s">
        <v>9</v>
      </c>
      <c r="F30" s="7" t="s">
        <v>94</v>
      </c>
      <c r="G30" s="7" t="s">
        <v>93</v>
      </c>
      <c r="H30" s="8">
        <v>357</v>
      </c>
      <c r="I30" s="9">
        <f t="shared" si="0"/>
        <v>1.4130219671482287E-3</v>
      </c>
    </row>
    <row r="31" spans="2:9">
      <c r="B31" s="7">
        <v>2015</v>
      </c>
      <c r="C31" s="7" t="s">
        <v>90</v>
      </c>
      <c r="D31" s="7" t="s">
        <v>97</v>
      </c>
      <c r="E31" s="7" t="s">
        <v>9</v>
      </c>
      <c r="F31" s="7" t="s">
        <v>94</v>
      </c>
      <c r="G31" s="7" t="s">
        <v>95</v>
      </c>
      <c r="H31" s="8">
        <v>304</v>
      </c>
      <c r="I31" s="9">
        <f t="shared" si="0"/>
        <v>1.2032455966752423E-3</v>
      </c>
    </row>
    <row r="32" spans="2:9">
      <c r="B32" s="7">
        <v>2015</v>
      </c>
      <c r="C32" s="7" t="s">
        <v>90</v>
      </c>
      <c r="D32" s="7" t="s">
        <v>97</v>
      </c>
      <c r="E32" s="7" t="s">
        <v>10</v>
      </c>
      <c r="F32" s="7" t="s">
        <v>92</v>
      </c>
      <c r="G32" s="7" t="s">
        <v>93</v>
      </c>
      <c r="H32" s="8">
        <v>20</v>
      </c>
      <c r="I32" s="9">
        <f t="shared" si="0"/>
        <v>7.9160894518108058E-5</v>
      </c>
    </row>
    <row r="33" spans="2:9">
      <c r="B33" s="7">
        <v>2015</v>
      </c>
      <c r="C33" s="7" t="s">
        <v>90</v>
      </c>
      <c r="D33" s="7" t="s">
        <v>97</v>
      </c>
      <c r="E33" s="7" t="s">
        <v>10</v>
      </c>
      <c r="F33" s="7" t="s">
        <v>92</v>
      </c>
      <c r="G33" s="7" t="s">
        <v>95</v>
      </c>
      <c r="H33" s="8">
        <v>12</v>
      </c>
      <c r="I33" s="9">
        <f t="shared" si="0"/>
        <v>4.7496536710864832E-5</v>
      </c>
    </row>
    <row r="34" spans="2:9">
      <c r="B34" s="7">
        <v>2015</v>
      </c>
      <c r="C34" s="7" t="s">
        <v>90</v>
      </c>
      <c r="D34" s="7" t="s">
        <v>97</v>
      </c>
      <c r="E34" s="7" t="s">
        <v>10</v>
      </c>
      <c r="F34" s="7" t="s">
        <v>94</v>
      </c>
      <c r="G34" s="7" t="s">
        <v>93</v>
      </c>
      <c r="H34" s="8">
        <v>40</v>
      </c>
      <c r="I34" s="9">
        <f t="shared" si="0"/>
        <v>1.5832178903621612E-4</v>
      </c>
    </row>
    <row r="35" spans="2:9">
      <c r="B35" s="7">
        <v>2015</v>
      </c>
      <c r="C35" s="7" t="s">
        <v>90</v>
      </c>
      <c r="D35" s="7" t="s">
        <v>97</v>
      </c>
      <c r="E35" s="7" t="s">
        <v>10</v>
      </c>
      <c r="F35" s="7" t="s">
        <v>94</v>
      </c>
      <c r="G35" s="7" t="s">
        <v>95</v>
      </c>
      <c r="H35" s="8">
        <v>16</v>
      </c>
      <c r="I35" s="9">
        <f t="shared" si="0"/>
        <v>6.3328715614486438E-5</v>
      </c>
    </row>
    <row r="36" spans="2:9">
      <c r="B36" s="7">
        <v>2015</v>
      </c>
      <c r="C36" s="7" t="s">
        <v>90</v>
      </c>
      <c r="D36" s="7" t="s">
        <v>98</v>
      </c>
      <c r="E36" s="7" t="s">
        <v>9</v>
      </c>
      <c r="F36" s="7" t="s">
        <v>92</v>
      </c>
      <c r="G36" s="7" t="s">
        <v>93</v>
      </c>
      <c r="H36" s="8">
        <v>1583</v>
      </c>
      <c r="I36" s="9">
        <f t="shared" si="0"/>
        <v>6.2655848011082529E-3</v>
      </c>
    </row>
    <row r="37" spans="2:9">
      <c r="B37" s="7">
        <v>2015</v>
      </c>
      <c r="C37" s="7" t="s">
        <v>90</v>
      </c>
      <c r="D37" s="7" t="s">
        <v>98</v>
      </c>
      <c r="E37" s="7" t="s">
        <v>9</v>
      </c>
      <c r="F37" s="7" t="s">
        <v>92</v>
      </c>
      <c r="G37" s="7" t="s">
        <v>95</v>
      </c>
      <c r="H37" s="8">
        <v>1213</v>
      </c>
      <c r="I37" s="9">
        <f t="shared" si="0"/>
        <v>4.8011082525232533E-3</v>
      </c>
    </row>
    <row r="38" spans="2:9">
      <c r="B38" s="7">
        <v>2015</v>
      </c>
      <c r="C38" s="7" t="s">
        <v>90</v>
      </c>
      <c r="D38" s="7" t="s">
        <v>98</v>
      </c>
      <c r="E38" s="7" t="s">
        <v>9</v>
      </c>
      <c r="F38" s="7" t="s">
        <v>94</v>
      </c>
      <c r="G38" s="7" t="s">
        <v>93</v>
      </c>
      <c r="H38" s="8">
        <v>1422</v>
      </c>
      <c r="I38" s="9">
        <f t="shared" si="0"/>
        <v>5.6283396002374825E-3</v>
      </c>
    </row>
    <row r="39" spans="2:9">
      <c r="B39" s="7">
        <v>2015</v>
      </c>
      <c r="C39" s="7" t="s">
        <v>90</v>
      </c>
      <c r="D39" s="7" t="s">
        <v>98</v>
      </c>
      <c r="E39" s="7" t="s">
        <v>9</v>
      </c>
      <c r="F39" s="7" t="s">
        <v>94</v>
      </c>
      <c r="G39" s="7" t="s">
        <v>95</v>
      </c>
      <c r="H39" s="8">
        <v>1515</v>
      </c>
      <c r="I39" s="9">
        <f t="shared" si="0"/>
        <v>5.9964377597466851E-3</v>
      </c>
    </row>
    <row r="40" spans="2:9">
      <c r="B40" s="7">
        <v>2015</v>
      </c>
      <c r="C40" s="7" t="s">
        <v>90</v>
      </c>
      <c r="D40" s="7" t="s">
        <v>98</v>
      </c>
      <c r="E40" s="7" t="s">
        <v>10</v>
      </c>
      <c r="F40" s="7" t="s">
        <v>92</v>
      </c>
      <c r="G40" s="7" t="s">
        <v>93</v>
      </c>
      <c r="H40" s="8">
        <v>149</v>
      </c>
      <c r="I40" s="9">
        <f t="shared" si="0"/>
        <v>5.8974866415990499E-4</v>
      </c>
    </row>
    <row r="41" spans="2:9">
      <c r="B41" s="7">
        <v>2015</v>
      </c>
      <c r="C41" s="7" t="s">
        <v>90</v>
      </c>
      <c r="D41" s="7" t="s">
        <v>98</v>
      </c>
      <c r="E41" s="7" t="s">
        <v>10</v>
      </c>
      <c r="F41" s="7" t="s">
        <v>92</v>
      </c>
      <c r="G41" s="7" t="s">
        <v>95</v>
      </c>
      <c r="H41" s="8">
        <v>98</v>
      </c>
      <c r="I41" s="9">
        <f t="shared" si="0"/>
        <v>3.8788838313872948E-4</v>
      </c>
    </row>
    <row r="42" spans="2:9">
      <c r="B42" s="7">
        <v>2015</v>
      </c>
      <c r="C42" s="7" t="s">
        <v>90</v>
      </c>
      <c r="D42" s="7" t="s">
        <v>98</v>
      </c>
      <c r="E42" s="7" t="s">
        <v>10</v>
      </c>
      <c r="F42" s="7" t="s">
        <v>94</v>
      </c>
      <c r="G42" s="7" t="s">
        <v>93</v>
      </c>
      <c r="H42" s="8">
        <v>225</v>
      </c>
      <c r="I42" s="9">
        <f t="shared" si="0"/>
        <v>8.9056006332871563E-4</v>
      </c>
    </row>
    <row r="43" spans="2:9">
      <c r="B43" s="7">
        <v>2015</v>
      </c>
      <c r="C43" s="7" t="s">
        <v>90</v>
      </c>
      <c r="D43" s="7" t="s">
        <v>98</v>
      </c>
      <c r="E43" s="7" t="s">
        <v>10</v>
      </c>
      <c r="F43" s="7" t="s">
        <v>94</v>
      </c>
      <c r="G43" s="7" t="s">
        <v>95</v>
      </c>
      <c r="H43" s="8">
        <v>207</v>
      </c>
      <c r="I43" s="9">
        <f t="shared" si="0"/>
        <v>8.1931525826241833E-4</v>
      </c>
    </row>
    <row r="44" spans="2:9">
      <c r="B44" s="7">
        <v>2015</v>
      </c>
      <c r="C44" s="7" t="s">
        <v>90</v>
      </c>
      <c r="D44" s="7" t="s">
        <v>99</v>
      </c>
      <c r="E44" s="7" t="s">
        <v>9</v>
      </c>
      <c r="F44" s="7" t="s">
        <v>92</v>
      </c>
      <c r="G44" s="7" t="s">
        <v>93</v>
      </c>
      <c r="H44" s="8">
        <v>604</v>
      </c>
      <c r="I44" s="9">
        <f t="shared" si="0"/>
        <v>2.3906590144468633E-3</v>
      </c>
    </row>
    <row r="45" spans="2:9">
      <c r="B45" s="7">
        <v>2015</v>
      </c>
      <c r="C45" s="7" t="s">
        <v>90</v>
      </c>
      <c r="D45" s="7" t="s">
        <v>99</v>
      </c>
      <c r="E45" s="7" t="s">
        <v>9</v>
      </c>
      <c r="F45" s="7" t="s">
        <v>92</v>
      </c>
      <c r="G45" s="7" t="s">
        <v>95</v>
      </c>
      <c r="H45" s="8">
        <v>458</v>
      </c>
      <c r="I45" s="9">
        <f t="shared" si="0"/>
        <v>1.8127844844646746E-3</v>
      </c>
    </row>
    <row r="46" spans="2:9">
      <c r="B46" s="7">
        <v>2015</v>
      </c>
      <c r="C46" s="7" t="s">
        <v>90</v>
      </c>
      <c r="D46" s="7" t="s">
        <v>99</v>
      </c>
      <c r="E46" s="7" t="s">
        <v>9</v>
      </c>
      <c r="F46" s="7" t="s">
        <v>94</v>
      </c>
      <c r="G46" s="7" t="s">
        <v>93</v>
      </c>
      <c r="H46" s="8">
        <v>814</v>
      </c>
      <c r="I46" s="9">
        <f t="shared" si="0"/>
        <v>3.2218484068869979E-3</v>
      </c>
    </row>
    <row r="47" spans="2:9">
      <c r="B47" s="7">
        <v>2015</v>
      </c>
      <c r="C47" s="7" t="s">
        <v>90</v>
      </c>
      <c r="D47" s="7" t="s">
        <v>99</v>
      </c>
      <c r="E47" s="7" t="s">
        <v>9</v>
      </c>
      <c r="F47" s="7" t="s">
        <v>94</v>
      </c>
      <c r="G47" s="7" t="s">
        <v>95</v>
      </c>
      <c r="H47" s="8">
        <v>706</v>
      </c>
      <c r="I47" s="9">
        <f t="shared" si="0"/>
        <v>2.7943795764892145E-3</v>
      </c>
    </row>
    <row r="48" spans="2:9">
      <c r="B48" s="7">
        <v>2015</v>
      </c>
      <c r="C48" s="7" t="s">
        <v>90</v>
      </c>
      <c r="D48" s="7" t="s">
        <v>99</v>
      </c>
      <c r="E48" s="7" t="s">
        <v>10</v>
      </c>
      <c r="F48" s="7" t="s">
        <v>92</v>
      </c>
      <c r="G48" s="7" t="s">
        <v>93</v>
      </c>
      <c r="H48" s="8">
        <v>60</v>
      </c>
      <c r="I48" s="9">
        <f t="shared" si="0"/>
        <v>2.3748268355432416E-4</v>
      </c>
    </row>
    <row r="49" spans="2:9">
      <c r="B49" s="7">
        <v>2015</v>
      </c>
      <c r="C49" s="7" t="s">
        <v>90</v>
      </c>
      <c r="D49" s="7" t="s">
        <v>99</v>
      </c>
      <c r="E49" s="7" t="s">
        <v>10</v>
      </c>
      <c r="F49" s="7" t="s">
        <v>92</v>
      </c>
      <c r="G49" s="7" t="s">
        <v>95</v>
      </c>
      <c r="H49" s="8">
        <v>23</v>
      </c>
      <c r="I49" s="9">
        <f t="shared" si="0"/>
        <v>9.1035028695824266E-5</v>
      </c>
    </row>
    <row r="50" spans="2:9">
      <c r="B50" s="7">
        <v>2015</v>
      </c>
      <c r="C50" s="7" t="s">
        <v>90</v>
      </c>
      <c r="D50" s="7" t="s">
        <v>99</v>
      </c>
      <c r="E50" s="7" t="s">
        <v>10</v>
      </c>
      <c r="F50" s="7" t="s">
        <v>94</v>
      </c>
      <c r="G50" s="7" t="s">
        <v>93</v>
      </c>
      <c r="H50" s="8">
        <v>529</v>
      </c>
      <c r="I50" s="9">
        <f t="shared" si="0"/>
        <v>2.093805660003958E-3</v>
      </c>
    </row>
    <row r="51" spans="2:9">
      <c r="B51" s="7">
        <v>2015</v>
      </c>
      <c r="C51" s="7" t="s">
        <v>90</v>
      </c>
      <c r="D51" s="7" t="s">
        <v>99</v>
      </c>
      <c r="E51" s="7" t="s">
        <v>10</v>
      </c>
      <c r="F51" s="7" t="s">
        <v>94</v>
      </c>
      <c r="G51" s="7" t="s">
        <v>95</v>
      </c>
      <c r="H51" s="8">
        <v>386</v>
      </c>
      <c r="I51" s="9">
        <f t="shared" si="0"/>
        <v>1.5278052641994856E-3</v>
      </c>
    </row>
    <row r="52" spans="2:9">
      <c r="B52" s="7">
        <v>2015</v>
      </c>
      <c r="C52" s="7" t="s">
        <v>90</v>
      </c>
      <c r="D52" s="7" t="s">
        <v>100</v>
      </c>
      <c r="E52" s="7" t="s">
        <v>9</v>
      </c>
      <c r="F52" s="7" t="s">
        <v>92</v>
      </c>
      <c r="G52" s="7" t="s">
        <v>93</v>
      </c>
      <c r="H52" s="8">
        <v>84</v>
      </c>
      <c r="I52" s="9">
        <f t="shared" si="0"/>
        <v>3.3247575697605382E-4</v>
      </c>
    </row>
    <row r="53" spans="2:9">
      <c r="B53" s="7">
        <v>2015</v>
      </c>
      <c r="C53" s="7" t="s">
        <v>90</v>
      </c>
      <c r="D53" s="7" t="s">
        <v>100</v>
      </c>
      <c r="E53" s="7" t="s">
        <v>9</v>
      </c>
      <c r="F53" s="7" t="s">
        <v>92</v>
      </c>
      <c r="G53" s="7" t="s">
        <v>95</v>
      </c>
      <c r="H53" s="8">
        <v>74</v>
      </c>
      <c r="I53" s="9">
        <f t="shared" si="0"/>
        <v>2.9289530971699982E-4</v>
      </c>
    </row>
    <row r="54" spans="2:9">
      <c r="B54" s="7">
        <v>2015</v>
      </c>
      <c r="C54" s="7" t="s">
        <v>90</v>
      </c>
      <c r="D54" s="7" t="s">
        <v>100</v>
      </c>
      <c r="E54" s="7" t="s">
        <v>9</v>
      </c>
      <c r="F54" s="7" t="s">
        <v>94</v>
      </c>
      <c r="G54" s="7" t="s">
        <v>93</v>
      </c>
      <c r="H54" s="8">
        <v>105</v>
      </c>
      <c r="I54" s="9">
        <f t="shared" si="0"/>
        <v>4.1559469622006731E-4</v>
      </c>
    </row>
    <row r="55" spans="2:9">
      <c r="B55" s="7">
        <v>2015</v>
      </c>
      <c r="C55" s="7" t="s">
        <v>90</v>
      </c>
      <c r="D55" s="7" t="s">
        <v>100</v>
      </c>
      <c r="E55" s="7" t="s">
        <v>9</v>
      </c>
      <c r="F55" s="7" t="s">
        <v>94</v>
      </c>
      <c r="G55" s="7" t="s">
        <v>95</v>
      </c>
      <c r="H55" s="8">
        <v>99</v>
      </c>
      <c r="I55" s="9">
        <f t="shared" si="0"/>
        <v>3.9184642786463489E-4</v>
      </c>
    </row>
    <row r="56" spans="2:9">
      <c r="B56" s="7">
        <v>2015</v>
      </c>
      <c r="C56" s="7" t="s">
        <v>90</v>
      </c>
      <c r="D56" s="7" t="s">
        <v>100</v>
      </c>
      <c r="E56" s="7" t="s">
        <v>10</v>
      </c>
      <c r="F56" s="7" t="s">
        <v>92</v>
      </c>
      <c r="G56" s="7" t="s">
        <v>93</v>
      </c>
      <c r="H56" s="8">
        <v>3</v>
      </c>
      <c r="I56" s="9">
        <f t="shared" si="0"/>
        <v>1.1874134177716208E-5</v>
      </c>
    </row>
    <row r="57" spans="2:9">
      <c r="B57" s="7">
        <v>2015</v>
      </c>
      <c r="C57" s="7" t="s">
        <v>90</v>
      </c>
      <c r="D57" s="7" t="s">
        <v>100</v>
      </c>
      <c r="E57" s="7" t="s">
        <v>10</v>
      </c>
      <c r="F57" s="7" t="s">
        <v>92</v>
      </c>
      <c r="G57" s="7" t="s">
        <v>95</v>
      </c>
      <c r="H57" s="8">
        <v>3</v>
      </c>
      <c r="I57" s="9">
        <f t="shared" si="0"/>
        <v>1.1874134177716208E-5</v>
      </c>
    </row>
    <row r="58" spans="2:9">
      <c r="B58" s="7">
        <v>2015</v>
      </c>
      <c r="C58" s="7" t="s">
        <v>90</v>
      </c>
      <c r="D58" s="7" t="s">
        <v>100</v>
      </c>
      <c r="E58" s="7" t="s">
        <v>10</v>
      </c>
      <c r="F58" s="7" t="s">
        <v>94</v>
      </c>
      <c r="G58" s="7" t="s">
        <v>93</v>
      </c>
      <c r="H58" s="8">
        <v>5</v>
      </c>
      <c r="I58" s="9">
        <f t="shared" si="0"/>
        <v>1.9790223629527014E-5</v>
      </c>
    </row>
    <row r="59" spans="2:9">
      <c r="B59" s="7">
        <v>2015</v>
      </c>
      <c r="C59" s="7" t="s">
        <v>90</v>
      </c>
      <c r="D59" s="7" t="s">
        <v>101</v>
      </c>
      <c r="E59" s="7" t="s">
        <v>9</v>
      </c>
      <c r="F59" s="7" t="s">
        <v>92</v>
      </c>
      <c r="G59" s="7" t="s">
        <v>93</v>
      </c>
      <c r="H59" s="8">
        <v>311</v>
      </c>
      <c r="I59" s="9">
        <f t="shared" si="0"/>
        <v>1.2309519097565803E-3</v>
      </c>
    </row>
    <row r="60" spans="2:9">
      <c r="B60" s="7">
        <v>2015</v>
      </c>
      <c r="C60" s="7" t="s">
        <v>90</v>
      </c>
      <c r="D60" s="7" t="s">
        <v>101</v>
      </c>
      <c r="E60" s="7" t="s">
        <v>9</v>
      </c>
      <c r="F60" s="7" t="s">
        <v>92</v>
      </c>
      <c r="G60" s="7" t="s">
        <v>95</v>
      </c>
      <c r="H60" s="8">
        <v>201</v>
      </c>
      <c r="I60" s="9">
        <f t="shared" si="0"/>
        <v>7.9556698990698596E-4</v>
      </c>
    </row>
    <row r="61" spans="2:9">
      <c r="B61" s="7">
        <v>2015</v>
      </c>
      <c r="C61" s="7" t="s">
        <v>90</v>
      </c>
      <c r="D61" s="7" t="s">
        <v>101</v>
      </c>
      <c r="E61" s="7" t="s">
        <v>9</v>
      </c>
      <c r="F61" s="7" t="s">
        <v>94</v>
      </c>
      <c r="G61" s="7" t="s">
        <v>93</v>
      </c>
      <c r="H61" s="8">
        <v>376</v>
      </c>
      <c r="I61" s="9">
        <f t="shared" si="0"/>
        <v>1.4882248169404313E-3</v>
      </c>
    </row>
    <row r="62" spans="2:9">
      <c r="B62" s="7">
        <v>2015</v>
      </c>
      <c r="C62" s="7" t="s">
        <v>90</v>
      </c>
      <c r="D62" s="7" t="s">
        <v>101</v>
      </c>
      <c r="E62" s="7" t="s">
        <v>9</v>
      </c>
      <c r="F62" s="7" t="s">
        <v>94</v>
      </c>
      <c r="G62" s="7" t="s">
        <v>95</v>
      </c>
      <c r="H62" s="8">
        <v>368</v>
      </c>
      <c r="I62" s="9">
        <f t="shared" si="0"/>
        <v>1.4565604591331883E-3</v>
      </c>
    </row>
    <row r="63" spans="2:9">
      <c r="B63" s="7">
        <v>2015</v>
      </c>
      <c r="C63" s="7" t="s">
        <v>90</v>
      </c>
      <c r="D63" s="7" t="s">
        <v>101</v>
      </c>
      <c r="E63" s="7" t="s">
        <v>10</v>
      </c>
      <c r="F63" s="7" t="s">
        <v>92</v>
      </c>
      <c r="G63" s="7" t="s">
        <v>93</v>
      </c>
      <c r="H63" s="8">
        <v>9</v>
      </c>
      <c r="I63" s="9">
        <f t="shared" si="0"/>
        <v>3.5622402533148624E-5</v>
      </c>
    </row>
    <row r="64" spans="2:9">
      <c r="B64" s="7">
        <v>2015</v>
      </c>
      <c r="C64" s="7" t="s">
        <v>90</v>
      </c>
      <c r="D64" s="7" t="s">
        <v>101</v>
      </c>
      <c r="E64" s="7" t="s">
        <v>10</v>
      </c>
      <c r="F64" s="7" t="s">
        <v>92</v>
      </c>
      <c r="G64" s="7" t="s">
        <v>95</v>
      </c>
      <c r="H64" s="8">
        <v>5</v>
      </c>
      <c r="I64" s="9">
        <f t="shared" si="0"/>
        <v>1.9790223629527014E-5</v>
      </c>
    </row>
    <row r="65" spans="2:9">
      <c r="B65" s="7">
        <v>2015</v>
      </c>
      <c r="C65" s="7" t="s">
        <v>90</v>
      </c>
      <c r="D65" s="7" t="s">
        <v>101</v>
      </c>
      <c r="E65" s="7" t="s">
        <v>10</v>
      </c>
      <c r="F65" s="7" t="s">
        <v>94</v>
      </c>
      <c r="G65" s="7" t="s">
        <v>93</v>
      </c>
      <c r="H65" s="8">
        <v>65</v>
      </c>
      <c r="I65" s="9">
        <f t="shared" si="0"/>
        <v>2.5727290718385116E-4</v>
      </c>
    </row>
    <row r="66" spans="2:9">
      <c r="B66" s="7">
        <v>2015</v>
      </c>
      <c r="C66" s="7" t="s">
        <v>90</v>
      </c>
      <c r="D66" s="7" t="s">
        <v>101</v>
      </c>
      <c r="E66" s="7" t="s">
        <v>10</v>
      </c>
      <c r="F66" s="7" t="s">
        <v>94</v>
      </c>
      <c r="G66" s="7" t="s">
        <v>95</v>
      </c>
      <c r="H66" s="8">
        <v>52</v>
      </c>
      <c r="I66" s="9">
        <f t="shared" si="0"/>
        <v>2.0581832574708095E-4</v>
      </c>
    </row>
    <row r="67" spans="2:9">
      <c r="B67" s="7">
        <v>2015</v>
      </c>
      <c r="C67" s="7" t="s">
        <v>102</v>
      </c>
      <c r="D67" s="7" t="s">
        <v>103</v>
      </c>
      <c r="E67" s="7" t="s">
        <v>9</v>
      </c>
      <c r="F67" s="7" t="s">
        <v>92</v>
      </c>
      <c r="G67" s="7" t="s">
        <v>93</v>
      </c>
      <c r="H67" s="8">
        <v>327</v>
      </c>
      <c r="I67" s="9">
        <f t="shared" si="0"/>
        <v>1.2942806253710666E-3</v>
      </c>
    </row>
    <row r="68" spans="2:9">
      <c r="B68" s="7">
        <v>2015</v>
      </c>
      <c r="C68" s="7" t="s">
        <v>102</v>
      </c>
      <c r="D68" s="7" t="s">
        <v>103</v>
      </c>
      <c r="E68" s="7" t="s">
        <v>9</v>
      </c>
      <c r="F68" s="7" t="s">
        <v>92</v>
      </c>
      <c r="G68" s="7" t="s">
        <v>95</v>
      </c>
      <c r="H68" s="8">
        <v>321</v>
      </c>
      <c r="I68" s="9">
        <f t="shared" si="0"/>
        <v>1.2705323570156343E-3</v>
      </c>
    </row>
    <row r="69" spans="2:9">
      <c r="B69" s="7">
        <v>2015</v>
      </c>
      <c r="C69" s="7" t="s">
        <v>102</v>
      </c>
      <c r="D69" s="7" t="s">
        <v>103</v>
      </c>
      <c r="E69" s="7" t="s">
        <v>9</v>
      </c>
      <c r="F69" s="7" t="s">
        <v>94</v>
      </c>
      <c r="G69" s="7" t="s">
        <v>93</v>
      </c>
      <c r="H69" s="8">
        <v>504</v>
      </c>
      <c r="I69" s="9">
        <f t="shared" si="0"/>
        <v>1.9948545418563232E-3</v>
      </c>
    </row>
    <row r="70" spans="2:9">
      <c r="B70" s="7">
        <v>2015</v>
      </c>
      <c r="C70" s="7" t="s">
        <v>102</v>
      </c>
      <c r="D70" s="7" t="s">
        <v>103</v>
      </c>
      <c r="E70" s="7" t="s">
        <v>9</v>
      </c>
      <c r="F70" s="7" t="s">
        <v>94</v>
      </c>
      <c r="G70" s="7" t="s">
        <v>95</v>
      </c>
      <c r="H70" s="8">
        <v>422</v>
      </c>
      <c r="I70" s="9">
        <f t="shared" si="0"/>
        <v>1.6702948743320799E-3</v>
      </c>
    </row>
    <row r="71" spans="2:9">
      <c r="B71" s="7">
        <v>2015</v>
      </c>
      <c r="C71" s="7" t="s">
        <v>102</v>
      </c>
      <c r="D71" s="7" t="s">
        <v>103</v>
      </c>
      <c r="E71" s="7" t="s">
        <v>10</v>
      </c>
      <c r="F71" s="7" t="s">
        <v>92</v>
      </c>
      <c r="G71" s="7" t="s">
        <v>93</v>
      </c>
      <c r="H71" s="8">
        <v>10</v>
      </c>
      <c r="I71" s="9">
        <f t="shared" si="0"/>
        <v>3.9580447259054029E-5</v>
      </c>
    </row>
    <row r="72" spans="2:9">
      <c r="B72" s="7">
        <v>2015</v>
      </c>
      <c r="C72" s="7" t="s">
        <v>102</v>
      </c>
      <c r="D72" s="7" t="s">
        <v>103</v>
      </c>
      <c r="E72" s="7" t="s">
        <v>10</v>
      </c>
      <c r="F72" s="7" t="s">
        <v>92</v>
      </c>
      <c r="G72" s="7" t="s">
        <v>95</v>
      </c>
      <c r="H72" s="8">
        <v>11</v>
      </c>
      <c r="I72" s="9">
        <f t="shared" si="0"/>
        <v>4.3538491984959427E-5</v>
      </c>
    </row>
    <row r="73" spans="2:9">
      <c r="B73" s="7">
        <v>2015</v>
      </c>
      <c r="C73" s="7" t="s">
        <v>102</v>
      </c>
      <c r="D73" s="7" t="s">
        <v>103</v>
      </c>
      <c r="E73" s="7" t="s">
        <v>10</v>
      </c>
      <c r="F73" s="7" t="s">
        <v>94</v>
      </c>
      <c r="G73" s="7" t="s">
        <v>93</v>
      </c>
      <c r="H73" s="8">
        <v>16</v>
      </c>
      <c r="I73" s="9">
        <f t="shared" si="0"/>
        <v>6.3328715614486438E-5</v>
      </c>
    </row>
    <row r="74" spans="2:9">
      <c r="B74" s="7">
        <v>2015</v>
      </c>
      <c r="C74" s="7" t="s">
        <v>102</v>
      </c>
      <c r="D74" s="7" t="s">
        <v>103</v>
      </c>
      <c r="E74" s="7" t="s">
        <v>10</v>
      </c>
      <c r="F74" s="7" t="s">
        <v>94</v>
      </c>
      <c r="G74" s="7" t="s">
        <v>95</v>
      </c>
      <c r="H74" s="8">
        <v>28</v>
      </c>
      <c r="I74" s="9">
        <f t="shared" si="0"/>
        <v>1.1082525232535127E-4</v>
      </c>
    </row>
    <row r="75" spans="2:9">
      <c r="B75" s="7">
        <v>2015</v>
      </c>
      <c r="C75" s="7" t="s">
        <v>102</v>
      </c>
      <c r="D75" s="7" t="s">
        <v>104</v>
      </c>
      <c r="E75" s="7" t="s">
        <v>9</v>
      </c>
      <c r="F75" s="7" t="s">
        <v>92</v>
      </c>
      <c r="G75" s="7" t="s">
        <v>93</v>
      </c>
      <c r="H75" s="8">
        <v>1977</v>
      </c>
      <c r="I75" s="9">
        <f t="shared" si="0"/>
        <v>7.825054423114982E-3</v>
      </c>
    </row>
    <row r="76" spans="2:9">
      <c r="B76" s="7">
        <v>2015</v>
      </c>
      <c r="C76" s="7" t="s">
        <v>102</v>
      </c>
      <c r="D76" s="7" t="s">
        <v>104</v>
      </c>
      <c r="E76" s="7" t="s">
        <v>9</v>
      </c>
      <c r="F76" s="7" t="s">
        <v>92</v>
      </c>
      <c r="G76" s="7" t="s">
        <v>95</v>
      </c>
      <c r="H76" s="8">
        <v>1410</v>
      </c>
      <c r="I76" s="9">
        <f t="shared" ref="I76:I139" si="1">IFERROR(H76/$B$8,0)</f>
        <v>5.5808430635266183E-3</v>
      </c>
    </row>
    <row r="77" spans="2:9">
      <c r="B77" s="7">
        <v>2015</v>
      </c>
      <c r="C77" s="7" t="s">
        <v>102</v>
      </c>
      <c r="D77" s="7" t="s">
        <v>104</v>
      </c>
      <c r="E77" s="7" t="s">
        <v>9</v>
      </c>
      <c r="F77" s="7" t="s">
        <v>94</v>
      </c>
      <c r="G77" s="7" t="s">
        <v>93</v>
      </c>
      <c r="H77" s="8">
        <v>3205</v>
      </c>
      <c r="I77" s="9">
        <f t="shared" si="1"/>
        <v>1.2685533346526816E-2</v>
      </c>
    </row>
    <row r="78" spans="2:9">
      <c r="B78" s="7">
        <v>2015</v>
      </c>
      <c r="C78" s="7" t="s">
        <v>102</v>
      </c>
      <c r="D78" s="7" t="s">
        <v>104</v>
      </c>
      <c r="E78" s="7" t="s">
        <v>9</v>
      </c>
      <c r="F78" s="7" t="s">
        <v>94</v>
      </c>
      <c r="G78" s="7" t="s">
        <v>95</v>
      </c>
      <c r="H78" s="8">
        <v>2691</v>
      </c>
      <c r="I78" s="9">
        <f t="shared" si="1"/>
        <v>1.0651098357411438E-2</v>
      </c>
    </row>
    <row r="79" spans="2:9">
      <c r="B79" s="7">
        <v>2015</v>
      </c>
      <c r="C79" s="7" t="s">
        <v>102</v>
      </c>
      <c r="D79" s="7" t="s">
        <v>104</v>
      </c>
      <c r="E79" s="7" t="s">
        <v>10</v>
      </c>
      <c r="F79" s="7" t="s">
        <v>92</v>
      </c>
      <c r="G79" s="7" t="s">
        <v>93</v>
      </c>
      <c r="H79" s="8">
        <v>144</v>
      </c>
      <c r="I79" s="9">
        <f t="shared" si="1"/>
        <v>5.6995844053037798E-4</v>
      </c>
    </row>
    <row r="80" spans="2:9">
      <c r="B80" s="7">
        <v>2015</v>
      </c>
      <c r="C80" s="7" t="s">
        <v>102</v>
      </c>
      <c r="D80" s="7" t="s">
        <v>104</v>
      </c>
      <c r="E80" s="7" t="s">
        <v>10</v>
      </c>
      <c r="F80" s="7" t="s">
        <v>92</v>
      </c>
      <c r="G80" s="7" t="s">
        <v>95</v>
      </c>
      <c r="H80" s="8">
        <v>107</v>
      </c>
      <c r="I80" s="9">
        <f t="shared" si="1"/>
        <v>4.2351078567187808E-4</v>
      </c>
    </row>
    <row r="81" spans="2:9">
      <c r="B81" s="7">
        <v>2015</v>
      </c>
      <c r="C81" s="7" t="s">
        <v>102</v>
      </c>
      <c r="D81" s="7" t="s">
        <v>104</v>
      </c>
      <c r="E81" s="7" t="s">
        <v>10</v>
      </c>
      <c r="F81" s="7" t="s">
        <v>94</v>
      </c>
      <c r="G81" s="7" t="s">
        <v>93</v>
      </c>
      <c r="H81" s="8">
        <v>2136</v>
      </c>
      <c r="I81" s="9">
        <f t="shared" si="1"/>
        <v>8.4543835345339408E-3</v>
      </c>
    </row>
    <row r="82" spans="2:9">
      <c r="B82" s="7">
        <v>2015</v>
      </c>
      <c r="C82" s="7" t="s">
        <v>102</v>
      </c>
      <c r="D82" s="7" t="s">
        <v>104</v>
      </c>
      <c r="E82" s="7" t="s">
        <v>10</v>
      </c>
      <c r="F82" s="7" t="s">
        <v>94</v>
      </c>
      <c r="G82" s="7" t="s">
        <v>95</v>
      </c>
      <c r="H82" s="8">
        <v>1674</v>
      </c>
      <c r="I82" s="9">
        <f t="shared" si="1"/>
        <v>6.6257668711656439E-3</v>
      </c>
    </row>
    <row r="83" spans="2:9">
      <c r="B83" s="7">
        <v>2015</v>
      </c>
      <c r="C83" s="7" t="s">
        <v>102</v>
      </c>
      <c r="D83" s="7" t="s">
        <v>105</v>
      </c>
      <c r="E83" s="7" t="s">
        <v>9</v>
      </c>
      <c r="F83" s="7" t="s">
        <v>92</v>
      </c>
      <c r="G83" s="7" t="s">
        <v>93</v>
      </c>
      <c r="H83" s="8">
        <v>437</v>
      </c>
      <c r="I83" s="9">
        <f t="shared" si="1"/>
        <v>1.729665545220661E-3</v>
      </c>
    </row>
    <row r="84" spans="2:9">
      <c r="B84" s="7">
        <v>2015</v>
      </c>
      <c r="C84" s="7" t="s">
        <v>102</v>
      </c>
      <c r="D84" s="7" t="s">
        <v>105</v>
      </c>
      <c r="E84" s="7" t="s">
        <v>9</v>
      </c>
      <c r="F84" s="7" t="s">
        <v>92</v>
      </c>
      <c r="G84" s="7" t="s">
        <v>95</v>
      </c>
      <c r="H84" s="8">
        <v>473</v>
      </c>
      <c r="I84" s="9">
        <f t="shared" si="1"/>
        <v>1.8721551553532556E-3</v>
      </c>
    </row>
    <row r="85" spans="2:9">
      <c r="B85" s="7">
        <v>2015</v>
      </c>
      <c r="C85" s="7" t="s">
        <v>102</v>
      </c>
      <c r="D85" s="7" t="s">
        <v>105</v>
      </c>
      <c r="E85" s="7" t="s">
        <v>9</v>
      </c>
      <c r="F85" s="7" t="s">
        <v>94</v>
      </c>
      <c r="G85" s="7" t="s">
        <v>93</v>
      </c>
      <c r="H85" s="8">
        <v>2264</v>
      </c>
      <c r="I85" s="9">
        <f t="shared" si="1"/>
        <v>8.9610132594498317E-3</v>
      </c>
    </row>
    <row r="86" spans="2:9">
      <c r="B86" s="7">
        <v>2015</v>
      </c>
      <c r="C86" s="7" t="s">
        <v>102</v>
      </c>
      <c r="D86" s="7" t="s">
        <v>105</v>
      </c>
      <c r="E86" s="7" t="s">
        <v>9</v>
      </c>
      <c r="F86" s="7" t="s">
        <v>94</v>
      </c>
      <c r="G86" s="7" t="s">
        <v>95</v>
      </c>
      <c r="H86" s="8">
        <v>2269</v>
      </c>
      <c r="I86" s="9">
        <f t="shared" si="1"/>
        <v>8.9808034830793585E-3</v>
      </c>
    </row>
    <row r="87" spans="2:9">
      <c r="B87" s="7">
        <v>2015</v>
      </c>
      <c r="C87" s="7" t="s">
        <v>102</v>
      </c>
      <c r="D87" s="7" t="s">
        <v>105</v>
      </c>
      <c r="E87" s="7" t="s">
        <v>10</v>
      </c>
      <c r="F87" s="7" t="s">
        <v>92</v>
      </c>
      <c r="G87" s="7" t="s">
        <v>93</v>
      </c>
      <c r="H87" s="8">
        <v>9</v>
      </c>
      <c r="I87" s="9">
        <f t="shared" si="1"/>
        <v>3.5622402533148624E-5</v>
      </c>
    </row>
    <row r="88" spans="2:9">
      <c r="B88" s="7">
        <v>2015</v>
      </c>
      <c r="C88" s="7" t="s">
        <v>102</v>
      </c>
      <c r="D88" s="7" t="s">
        <v>105</v>
      </c>
      <c r="E88" s="7" t="s">
        <v>10</v>
      </c>
      <c r="F88" s="7" t="s">
        <v>92</v>
      </c>
      <c r="G88" s="7" t="s">
        <v>95</v>
      </c>
      <c r="H88" s="8">
        <v>5</v>
      </c>
      <c r="I88" s="9">
        <f t="shared" si="1"/>
        <v>1.9790223629527014E-5</v>
      </c>
    </row>
    <row r="89" spans="2:9">
      <c r="B89" s="7">
        <v>2015</v>
      </c>
      <c r="C89" s="7" t="s">
        <v>102</v>
      </c>
      <c r="D89" s="7" t="s">
        <v>105</v>
      </c>
      <c r="E89" s="7" t="s">
        <v>10</v>
      </c>
      <c r="F89" s="7" t="s">
        <v>94</v>
      </c>
      <c r="G89" s="7" t="s">
        <v>93</v>
      </c>
      <c r="H89" s="8">
        <v>762</v>
      </c>
      <c r="I89" s="9">
        <f t="shared" si="1"/>
        <v>3.0160300811399167E-3</v>
      </c>
    </row>
    <row r="90" spans="2:9">
      <c r="B90" s="7">
        <v>2015</v>
      </c>
      <c r="C90" s="7" t="s">
        <v>102</v>
      </c>
      <c r="D90" s="7" t="s">
        <v>105</v>
      </c>
      <c r="E90" s="7" t="s">
        <v>10</v>
      </c>
      <c r="F90" s="7" t="s">
        <v>94</v>
      </c>
      <c r="G90" s="7" t="s">
        <v>95</v>
      </c>
      <c r="H90" s="8">
        <v>737</v>
      </c>
      <c r="I90" s="9">
        <f t="shared" si="1"/>
        <v>2.9170789629922819E-3</v>
      </c>
    </row>
    <row r="91" spans="2:9">
      <c r="B91" s="7">
        <v>2015</v>
      </c>
      <c r="C91" s="7" t="s">
        <v>102</v>
      </c>
      <c r="D91" s="7" t="s">
        <v>106</v>
      </c>
      <c r="E91" s="7" t="s">
        <v>9</v>
      </c>
      <c r="F91" s="7" t="s">
        <v>92</v>
      </c>
      <c r="G91" s="7" t="s">
        <v>93</v>
      </c>
      <c r="H91" s="8">
        <v>286</v>
      </c>
      <c r="I91" s="9">
        <f t="shared" si="1"/>
        <v>1.1320007916089453E-3</v>
      </c>
    </row>
    <row r="92" spans="2:9">
      <c r="B92" s="7">
        <v>2015</v>
      </c>
      <c r="C92" s="7" t="s">
        <v>102</v>
      </c>
      <c r="D92" s="7" t="s">
        <v>106</v>
      </c>
      <c r="E92" s="7" t="s">
        <v>9</v>
      </c>
      <c r="F92" s="7" t="s">
        <v>92</v>
      </c>
      <c r="G92" s="7" t="s">
        <v>95</v>
      </c>
      <c r="H92" s="8">
        <v>223</v>
      </c>
      <c r="I92" s="9">
        <f t="shared" si="1"/>
        <v>8.826439738769048E-4</v>
      </c>
    </row>
    <row r="93" spans="2:9">
      <c r="B93" s="7">
        <v>2015</v>
      </c>
      <c r="C93" s="7" t="s">
        <v>102</v>
      </c>
      <c r="D93" s="7" t="s">
        <v>106</v>
      </c>
      <c r="E93" s="7" t="s">
        <v>9</v>
      </c>
      <c r="F93" s="7" t="s">
        <v>94</v>
      </c>
      <c r="G93" s="7" t="s">
        <v>93</v>
      </c>
      <c r="H93" s="8">
        <v>1280</v>
      </c>
      <c r="I93" s="9">
        <f t="shared" si="1"/>
        <v>5.0662972491589157E-3</v>
      </c>
    </row>
    <row r="94" spans="2:9">
      <c r="B94" s="7">
        <v>2015</v>
      </c>
      <c r="C94" s="7" t="s">
        <v>102</v>
      </c>
      <c r="D94" s="7" t="s">
        <v>106</v>
      </c>
      <c r="E94" s="7" t="s">
        <v>9</v>
      </c>
      <c r="F94" s="7" t="s">
        <v>94</v>
      </c>
      <c r="G94" s="7" t="s">
        <v>95</v>
      </c>
      <c r="H94" s="8">
        <v>1100</v>
      </c>
      <c r="I94" s="9">
        <f t="shared" si="1"/>
        <v>4.3538491984959427E-3</v>
      </c>
    </row>
    <row r="95" spans="2:9">
      <c r="B95" s="7">
        <v>2015</v>
      </c>
      <c r="C95" s="7" t="s">
        <v>102</v>
      </c>
      <c r="D95" s="7" t="s">
        <v>106</v>
      </c>
      <c r="E95" s="7" t="s">
        <v>10</v>
      </c>
      <c r="F95" s="7" t="s">
        <v>92</v>
      </c>
      <c r="G95" s="7" t="s">
        <v>93</v>
      </c>
      <c r="H95" s="8">
        <v>39</v>
      </c>
      <c r="I95" s="9">
        <f t="shared" si="1"/>
        <v>1.543637443103107E-4</v>
      </c>
    </row>
    <row r="96" spans="2:9">
      <c r="B96" s="7">
        <v>2015</v>
      </c>
      <c r="C96" s="7" t="s">
        <v>102</v>
      </c>
      <c r="D96" s="7" t="s">
        <v>106</v>
      </c>
      <c r="E96" s="7" t="s">
        <v>10</v>
      </c>
      <c r="F96" s="7" t="s">
        <v>92</v>
      </c>
      <c r="G96" s="7" t="s">
        <v>95</v>
      </c>
      <c r="H96" s="8">
        <v>43</v>
      </c>
      <c r="I96" s="9">
        <f t="shared" si="1"/>
        <v>1.7019592321393232E-4</v>
      </c>
    </row>
    <row r="97" spans="2:9">
      <c r="B97" s="7">
        <v>2015</v>
      </c>
      <c r="C97" s="7" t="s">
        <v>102</v>
      </c>
      <c r="D97" s="7" t="s">
        <v>106</v>
      </c>
      <c r="E97" s="7" t="s">
        <v>10</v>
      </c>
      <c r="F97" s="7" t="s">
        <v>94</v>
      </c>
      <c r="G97" s="7" t="s">
        <v>93</v>
      </c>
      <c r="H97" s="8">
        <v>1696</v>
      </c>
      <c r="I97" s="9">
        <f t="shared" si="1"/>
        <v>6.7128438551355626E-3</v>
      </c>
    </row>
    <row r="98" spans="2:9">
      <c r="B98" s="7">
        <v>2015</v>
      </c>
      <c r="C98" s="7" t="s">
        <v>102</v>
      </c>
      <c r="D98" s="7" t="s">
        <v>106</v>
      </c>
      <c r="E98" s="7" t="s">
        <v>10</v>
      </c>
      <c r="F98" s="7" t="s">
        <v>94</v>
      </c>
      <c r="G98" s="7" t="s">
        <v>95</v>
      </c>
      <c r="H98" s="8">
        <v>1306</v>
      </c>
      <c r="I98" s="9">
        <f t="shared" si="1"/>
        <v>5.1692064120324559E-3</v>
      </c>
    </row>
    <row r="99" spans="2:9">
      <c r="B99" s="7">
        <v>2015</v>
      </c>
      <c r="C99" s="7" t="s">
        <v>102</v>
      </c>
      <c r="D99" s="7" t="s">
        <v>107</v>
      </c>
      <c r="E99" s="7" t="s">
        <v>9</v>
      </c>
      <c r="F99" s="7" t="s">
        <v>92</v>
      </c>
      <c r="G99" s="7" t="s">
        <v>93</v>
      </c>
      <c r="H99" s="8">
        <v>183</v>
      </c>
      <c r="I99" s="9">
        <f t="shared" si="1"/>
        <v>7.2432218484068866E-4</v>
      </c>
    </row>
    <row r="100" spans="2:9">
      <c r="B100" s="7">
        <v>2015</v>
      </c>
      <c r="C100" s="7" t="s">
        <v>102</v>
      </c>
      <c r="D100" s="7" t="s">
        <v>107</v>
      </c>
      <c r="E100" s="7" t="s">
        <v>9</v>
      </c>
      <c r="F100" s="7" t="s">
        <v>92</v>
      </c>
      <c r="G100" s="7" t="s">
        <v>95</v>
      </c>
      <c r="H100" s="8">
        <v>218</v>
      </c>
      <c r="I100" s="9">
        <f t="shared" si="1"/>
        <v>8.628537502473778E-4</v>
      </c>
    </row>
    <row r="101" spans="2:9">
      <c r="B101" s="7">
        <v>2015</v>
      </c>
      <c r="C101" s="7" t="s">
        <v>102</v>
      </c>
      <c r="D101" s="7" t="s">
        <v>107</v>
      </c>
      <c r="E101" s="7" t="s">
        <v>9</v>
      </c>
      <c r="F101" s="7" t="s">
        <v>94</v>
      </c>
      <c r="G101" s="7" t="s">
        <v>93</v>
      </c>
      <c r="H101" s="8">
        <v>1354</v>
      </c>
      <c r="I101" s="9">
        <f t="shared" si="1"/>
        <v>5.3591925588759156E-3</v>
      </c>
    </row>
    <row r="102" spans="2:9">
      <c r="B102" s="7">
        <v>2015</v>
      </c>
      <c r="C102" s="7" t="s">
        <v>102</v>
      </c>
      <c r="D102" s="7" t="s">
        <v>107</v>
      </c>
      <c r="E102" s="7" t="s">
        <v>9</v>
      </c>
      <c r="F102" s="7" t="s">
        <v>94</v>
      </c>
      <c r="G102" s="7" t="s">
        <v>95</v>
      </c>
      <c r="H102" s="8">
        <v>1492</v>
      </c>
      <c r="I102" s="9">
        <f t="shared" si="1"/>
        <v>5.905402731050861E-3</v>
      </c>
    </row>
    <row r="103" spans="2:9">
      <c r="B103" s="7">
        <v>2015</v>
      </c>
      <c r="C103" s="7" t="s">
        <v>102</v>
      </c>
      <c r="D103" s="7" t="s">
        <v>107</v>
      </c>
      <c r="E103" s="7" t="s">
        <v>10</v>
      </c>
      <c r="F103" s="7" t="s">
        <v>92</v>
      </c>
      <c r="G103" s="7" t="s">
        <v>93</v>
      </c>
      <c r="H103" s="8">
        <v>13</v>
      </c>
      <c r="I103" s="9">
        <f t="shared" si="1"/>
        <v>5.1454581436770237E-5</v>
      </c>
    </row>
    <row r="104" spans="2:9">
      <c r="B104" s="7">
        <v>2015</v>
      </c>
      <c r="C104" s="7" t="s">
        <v>102</v>
      </c>
      <c r="D104" s="7" t="s">
        <v>107</v>
      </c>
      <c r="E104" s="7" t="s">
        <v>10</v>
      </c>
      <c r="F104" s="7" t="s">
        <v>92</v>
      </c>
      <c r="G104" s="7" t="s">
        <v>95</v>
      </c>
      <c r="H104" s="8">
        <v>12</v>
      </c>
      <c r="I104" s="9">
        <f t="shared" si="1"/>
        <v>4.7496536710864832E-5</v>
      </c>
    </row>
    <row r="105" spans="2:9">
      <c r="B105" s="7">
        <v>2015</v>
      </c>
      <c r="C105" s="7" t="s">
        <v>102</v>
      </c>
      <c r="D105" s="7" t="s">
        <v>107</v>
      </c>
      <c r="E105" s="7" t="s">
        <v>10</v>
      </c>
      <c r="F105" s="7" t="s">
        <v>94</v>
      </c>
      <c r="G105" s="7" t="s">
        <v>93</v>
      </c>
      <c r="H105" s="8">
        <v>152</v>
      </c>
      <c r="I105" s="9">
        <f t="shared" si="1"/>
        <v>6.0162279833762117E-4</v>
      </c>
    </row>
    <row r="106" spans="2:9">
      <c r="B106" s="7">
        <v>2015</v>
      </c>
      <c r="C106" s="7" t="s">
        <v>102</v>
      </c>
      <c r="D106" s="7" t="s">
        <v>107</v>
      </c>
      <c r="E106" s="7" t="s">
        <v>10</v>
      </c>
      <c r="F106" s="7" t="s">
        <v>94</v>
      </c>
      <c r="G106" s="7" t="s">
        <v>95</v>
      </c>
      <c r="H106" s="8">
        <v>156</v>
      </c>
      <c r="I106" s="9">
        <f t="shared" si="1"/>
        <v>6.1745497724124282E-4</v>
      </c>
    </row>
    <row r="107" spans="2:9">
      <c r="B107" s="7">
        <v>2015</v>
      </c>
      <c r="C107" s="7" t="s">
        <v>102</v>
      </c>
      <c r="D107" s="7" t="s">
        <v>108</v>
      </c>
      <c r="E107" s="7" t="s">
        <v>9</v>
      </c>
      <c r="F107" s="7" t="s">
        <v>92</v>
      </c>
      <c r="G107" s="7" t="s">
        <v>93</v>
      </c>
      <c r="H107" s="8">
        <v>587</v>
      </c>
      <c r="I107" s="9">
        <f t="shared" si="1"/>
        <v>2.3233722541064713E-3</v>
      </c>
    </row>
    <row r="108" spans="2:9">
      <c r="B108" s="7">
        <v>2015</v>
      </c>
      <c r="C108" s="7" t="s">
        <v>102</v>
      </c>
      <c r="D108" s="7" t="s">
        <v>108</v>
      </c>
      <c r="E108" s="7" t="s">
        <v>9</v>
      </c>
      <c r="F108" s="7" t="s">
        <v>92</v>
      </c>
      <c r="G108" s="7" t="s">
        <v>95</v>
      </c>
      <c r="H108" s="8">
        <v>643</v>
      </c>
      <c r="I108" s="9">
        <f t="shared" si="1"/>
        <v>2.5450227587571739E-3</v>
      </c>
    </row>
    <row r="109" spans="2:9">
      <c r="B109" s="7">
        <v>2015</v>
      </c>
      <c r="C109" s="7" t="s">
        <v>102</v>
      </c>
      <c r="D109" s="7" t="s">
        <v>108</v>
      </c>
      <c r="E109" s="7" t="s">
        <v>9</v>
      </c>
      <c r="F109" s="7" t="s">
        <v>94</v>
      </c>
      <c r="G109" s="7" t="s">
        <v>93</v>
      </c>
      <c r="H109" s="8">
        <v>2168</v>
      </c>
      <c r="I109" s="9">
        <f t="shared" si="1"/>
        <v>8.5810409657629139E-3</v>
      </c>
    </row>
    <row r="110" spans="2:9">
      <c r="B110" s="7">
        <v>2015</v>
      </c>
      <c r="C110" s="7" t="s">
        <v>102</v>
      </c>
      <c r="D110" s="7" t="s">
        <v>108</v>
      </c>
      <c r="E110" s="7" t="s">
        <v>9</v>
      </c>
      <c r="F110" s="7" t="s">
        <v>94</v>
      </c>
      <c r="G110" s="7" t="s">
        <v>95</v>
      </c>
      <c r="H110" s="8">
        <v>1927</v>
      </c>
      <c r="I110" s="9">
        <f t="shared" si="1"/>
        <v>7.6271521868197106E-3</v>
      </c>
    </row>
    <row r="111" spans="2:9">
      <c r="B111" s="7">
        <v>2015</v>
      </c>
      <c r="C111" s="7" t="s">
        <v>102</v>
      </c>
      <c r="D111" s="7" t="s">
        <v>108</v>
      </c>
      <c r="E111" s="7" t="s">
        <v>10</v>
      </c>
      <c r="F111" s="7" t="s">
        <v>92</v>
      </c>
      <c r="G111" s="7" t="s">
        <v>93</v>
      </c>
      <c r="H111" s="8">
        <v>18</v>
      </c>
      <c r="I111" s="9">
        <f t="shared" si="1"/>
        <v>7.1244805066297248E-5</v>
      </c>
    </row>
    <row r="112" spans="2:9">
      <c r="B112" s="7">
        <v>2015</v>
      </c>
      <c r="C112" s="7" t="s">
        <v>102</v>
      </c>
      <c r="D112" s="7" t="s">
        <v>108</v>
      </c>
      <c r="E112" s="7" t="s">
        <v>10</v>
      </c>
      <c r="F112" s="7" t="s">
        <v>92</v>
      </c>
      <c r="G112" s="7" t="s">
        <v>95</v>
      </c>
      <c r="H112" s="8">
        <v>36</v>
      </c>
      <c r="I112" s="9">
        <f t="shared" si="1"/>
        <v>1.424896101325945E-4</v>
      </c>
    </row>
    <row r="113" spans="2:9">
      <c r="B113" s="7">
        <v>2015</v>
      </c>
      <c r="C113" s="7" t="s">
        <v>102</v>
      </c>
      <c r="D113" s="7" t="s">
        <v>108</v>
      </c>
      <c r="E113" s="7" t="s">
        <v>10</v>
      </c>
      <c r="F113" s="7" t="s">
        <v>94</v>
      </c>
      <c r="G113" s="7" t="s">
        <v>93</v>
      </c>
      <c r="H113" s="8">
        <v>1124</v>
      </c>
      <c r="I113" s="9">
        <f t="shared" si="1"/>
        <v>4.448842271917673E-3</v>
      </c>
    </row>
    <row r="114" spans="2:9">
      <c r="B114" s="7">
        <v>2015</v>
      </c>
      <c r="C114" s="7" t="s">
        <v>102</v>
      </c>
      <c r="D114" s="7" t="s">
        <v>108</v>
      </c>
      <c r="E114" s="7" t="s">
        <v>10</v>
      </c>
      <c r="F114" s="7" t="s">
        <v>94</v>
      </c>
      <c r="G114" s="7" t="s">
        <v>95</v>
      </c>
      <c r="H114" s="8">
        <v>969</v>
      </c>
      <c r="I114" s="9">
        <f t="shared" si="1"/>
        <v>3.8353453394023352E-3</v>
      </c>
    </row>
    <row r="115" spans="2:9">
      <c r="B115" s="7">
        <v>2015</v>
      </c>
      <c r="C115" s="7" t="s">
        <v>102</v>
      </c>
      <c r="D115" s="7" t="s">
        <v>109</v>
      </c>
      <c r="E115" s="7" t="s">
        <v>9</v>
      </c>
      <c r="F115" s="7" t="s">
        <v>92</v>
      </c>
      <c r="G115" s="7" t="s">
        <v>93</v>
      </c>
      <c r="H115" s="8">
        <v>123</v>
      </c>
      <c r="I115" s="9">
        <f t="shared" si="1"/>
        <v>4.8683950128636456E-4</v>
      </c>
    </row>
    <row r="116" spans="2:9">
      <c r="B116" s="7">
        <v>2015</v>
      </c>
      <c r="C116" s="7" t="s">
        <v>102</v>
      </c>
      <c r="D116" s="7" t="s">
        <v>109</v>
      </c>
      <c r="E116" s="7" t="s">
        <v>9</v>
      </c>
      <c r="F116" s="7" t="s">
        <v>92</v>
      </c>
      <c r="G116" s="7" t="s">
        <v>95</v>
      </c>
      <c r="H116" s="8">
        <v>119</v>
      </c>
      <c r="I116" s="9">
        <f t="shared" si="1"/>
        <v>4.7100732238274291E-4</v>
      </c>
    </row>
    <row r="117" spans="2:9">
      <c r="B117" s="7">
        <v>2015</v>
      </c>
      <c r="C117" s="7" t="s">
        <v>102</v>
      </c>
      <c r="D117" s="7" t="s">
        <v>109</v>
      </c>
      <c r="E117" s="7" t="s">
        <v>9</v>
      </c>
      <c r="F117" s="7" t="s">
        <v>94</v>
      </c>
      <c r="G117" s="7" t="s">
        <v>93</v>
      </c>
      <c r="H117" s="8">
        <v>738</v>
      </c>
      <c r="I117" s="9">
        <f t="shared" si="1"/>
        <v>2.9210370077181872E-3</v>
      </c>
    </row>
    <row r="118" spans="2:9">
      <c r="B118" s="7">
        <v>2015</v>
      </c>
      <c r="C118" s="7" t="s">
        <v>102</v>
      </c>
      <c r="D118" s="7" t="s">
        <v>109</v>
      </c>
      <c r="E118" s="7" t="s">
        <v>9</v>
      </c>
      <c r="F118" s="7" t="s">
        <v>94</v>
      </c>
      <c r="G118" s="7" t="s">
        <v>95</v>
      </c>
      <c r="H118" s="8">
        <v>549</v>
      </c>
      <c r="I118" s="9">
        <f t="shared" si="1"/>
        <v>2.172966554522066E-3</v>
      </c>
    </row>
    <row r="119" spans="2:9">
      <c r="B119" s="7">
        <v>2015</v>
      </c>
      <c r="C119" s="7" t="s">
        <v>102</v>
      </c>
      <c r="D119" s="7" t="s">
        <v>109</v>
      </c>
      <c r="E119" s="7" t="s">
        <v>10</v>
      </c>
      <c r="F119" s="7" t="s">
        <v>92</v>
      </c>
      <c r="G119" s="7" t="s">
        <v>93</v>
      </c>
      <c r="H119" s="8">
        <v>4</v>
      </c>
      <c r="I119" s="9">
        <f t="shared" si="1"/>
        <v>1.583217890362161E-5</v>
      </c>
    </row>
    <row r="120" spans="2:9">
      <c r="B120" s="7">
        <v>2015</v>
      </c>
      <c r="C120" s="7" t="s">
        <v>102</v>
      </c>
      <c r="D120" s="7" t="s">
        <v>109</v>
      </c>
      <c r="E120" s="7" t="s">
        <v>10</v>
      </c>
      <c r="F120" s="7" t="s">
        <v>92</v>
      </c>
      <c r="G120" s="7" t="s">
        <v>95</v>
      </c>
      <c r="H120" s="8">
        <v>8</v>
      </c>
      <c r="I120" s="9">
        <f t="shared" si="1"/>
        <v>3.1664357807243219E-5</v>
      </c>
    </row>
    <row r="121" spans="2:9">
      <c r="B121" s="7">
        <v>2015</v>
      </c>
      <c r="C121" s="7" t="s">
        <v>102</v>
      </c>
      <c r="D121" s="7" t="s">
        <v>109</v>
      </c>
      <c r="E121" s="7" t="s">
        <v>10</v>
      </c>
      <c r="F121" s="7" t="s">
        <v>94</v>
      </c>
      <c r="G121" s="7" t="s">
        <v>93</v>
      </c>
      <c r="H121" s="8">
        <v>404</v>
      </c>
      <c r="I121" s="9">
        <f t="shared" si="1"/>
        <v>1.5990500692657826E-3</v>
      </c>
    </row>
    <row r="122" spans="2:9">
      <c r="B122" s="7">
        <v>2015</v>
      </c>
      <c r="C122" s="7" t="s">
        <v>102</v>
      </c>
      <c r="D122" s="7" t="s">
        <v>109</v>
      </c>
      <c r="E122" s="7" t="s">
        <v>10</v>
      </c>
      <c r="F122" s="7" t="s">
        <v>94</v>
      </c>
      <c r="G122" s="7" t="s">
        <v>95</v>
      </c>
      <c r="H122" s="8">
        <v>238</v>
      </c>
      <c r="I122" s="9">
        <f t="shared" si="1"/>
        <v>9.4201464476548582E-4</v>
      </c>
    </row>
    <row r="123" spans="2:9">
      <c r="B123" s="7">
        <v>2015</v>
      </c>
      <c r="C123" s="7" t="s">
        <v>102</v>
      </c>
      <c r="D123" s="7" t="s">
        <v>110</v>
      </c>
      <c r="E123" s="7" t="s">
        <v>9</v>
      </c>
      <c r="F123" s="7" t="s">
        <v>92</v>
      </c>
      <c r="G123" s="7" t="s">
        <v>93</v>
      </c>
      <c r="H123" s="8">
        <v>253</v>
      </c>
      <c r="I123" s="9">
        <f t="shared" si="1"/>
        <v>1.0013853156540669E-3</v>
      </c>
    </row>
    <row r="124" spans="2:9">
      <c r="B124" s="7">
        <v>2015</v>
      </c>
      <c r="C124" s="7" t="s">
        <v>102</v>
      </c>
      <c r="D124" s="7" t="s">
        <v>110</v>
      </c>
      <c r="E124" s="7" t="s">
        <v>9</v>
      </c>
      <c r="F124" s="7" t="s">
        <v>92</v>
      </c>
      <c r="G124" s="7" t="s">
        <v>95</v>
      </c>
      <c r="H124" s="8">
        <v>277</v>
      </c>
      <c r="I124" s="9">
        <f t="shared" si="1"/>
        <v>1.0963783890757966E-3</v>
      </c>
    </row>
    <row r="125" spans="2:9">
      <c r="B125" s="7">
        <v>2015</v>
      </c>
      <c r="C125" s="7" t="s">
        <v>102</v>
      </c>
      <c r="D125" s="7" t="s">
        <v>110</v>
      </c>
      <c r="E125" s="7" t="s">
        <v>9</v>
      </c>
      <c r="F125" s="7" t="s">
        <v>94</v>
      </c>
      <c r="G125" s="7" t="s">
        <v>93</v>
      </c>
      <c r="H125" s="8">
        <v>866</v>
      </c>
      <c r="I125" s="9">
        <f t="shared" si="1"/>
        <v>3.4276667326340786E-3</v>
      </c>
    </row>
    <row r="126" spans="2:9">
      <c r="B126" s="7">
        <v>2015</v>
      </c>
      <c r="C126" s="7" t="s">
        <v>102</v>
      </c>
      <c r="D126" s="7" t="s">
        <v>110</v>
      </c>
      <c r="E126" s="7" t="s">
        <v>9</v>
      </c>
      <c r="F126" s="7" t="s">
        <v>94</v>
      </c>
      <c r="G126" s="7" t="s">
        <v>95</v>
      </c>
      <c r="H126" s="8">
        <v>881</v>
      </c>
      <c r="I126" s="9">
        <f t="shared" si="1"/>
        <v>3.4870374035226599E-3</v>
      </c>
    </row>
    <row r="127" spans="2:9">
      <c r="B127" s="7">
        <v>2015</v>
      </c>
      <c r="C127" s="7" t="s">
        <v>102</v>
      </c>
      <c r="D127" s="7" t="s">
        <v>110</v>
      </c>
      <c r="E127" s="7" t="s">
        <v>10</v>
      </c>
      <c r="F127" s="7" t="s">
        <v>92</v>
      </c>
      <c r="G127" s="7" t="s">
        <v>93</v>
      </c>
      <c r="H127" s="8">
        <v>2</v>
      </c>
      <c r="I127" s="9">
        <f t="shared" si="1"/>
        <v>7.9160894518108048E-6</v>
      </c>
    </row>
    <row r="128" spans="2:9">
      <c r="B128" s="7">
        <v>2015</v>
      </c>
      <c r="C128" s="7" t="s">
        <v>102</v>
      </c>
      <c r="D128" s="7" t="s">
        <v>110</v>
      </c>
      <c r="E128" s="7" t="s">
        <v>10</v>
      </c>
      <c r="F128" s="7" t="s">
        <v>92</v>
      </c>
      <c r="G128" s="7" t="s">
        <v>95</v>
      </c>
      <c r="H128" s="8">
        <v>5</v>
      </c>
      <c r="I128" s="9">
        <f t="shared" si="1"/>
        <v>1.9790223629527014E-5</v>
      </c>
    </row>
    <row r="129" spans="2:9">
      <c r="B129" s="7">
        <v>2015</v>
      </c>
      <c r="C129" s="7" t="s">
        <v>102</v>
      </c>
      <c r="D129" s="7" t="s">
        <v>110</v>
      </c>
      <c r="E129" s="7" t="s">
        <v>10</v>
      </c>
      <c r="F129" s="7" t="s">
        <v>94</v>
      </c>
      <c r="G129" s="7" t="s">
        <v>93</v>
      </c>
      <c r="H129" s="8">
        <v>515</v>
      </c>
      <c r="I129" s="9">
        <f t="shared" si="1"/>
        <v>2.0383930338412825E-3</v>
      </c>
    </row>
    <row r="130" spans="2:9">
      <c r="B130" s="7">
        <v>2015</v>
      </c>
      <c r="C130" s="7" t="s">
        <v>102</v>
      </c>
      <c r="D130" s="7" t="s">
        <v>110</v>
      </c>
      <c r="E130" s="7" t="s">
        <v>10</v>
      </c>
      <c r="F130" s="7" t="s">
        <v>94</v>
      </c>
      <c r="G130" s="7" t="s">
        <v>95</v>
      </c>
      <c r="H130" s="8">
        <v>370</v>
      </c>
      <c r="I130" s="9">
        <f t="shared" si="1"/>
        <v>1.464476548584999E-3</v>
      </c>
    </row>
    <row r="131" spans="2:9">
      <c r="B131" s="7">
        <v>2015</v>
      </c>
      <c r="C131" s="7" t="s">
        <v>102</v>
      </c>
      <c r="D131" s="7" t="s">
        <v>111</v>
      </c>
      <c r="E131" s="7" t="s">
        <v>9</v>
      </c>
      <c r="F131" s="7" t="s">
        <v>92</v>
      </c>
      <c r="G131" s="7" t="s">
        <v>93</v>
      </c>
      <c r="H131" s="8">
        <v>140</v>
      </c>
      <c r="I131" s="9">
        <f t="shared" si="1"/>
        <v>5.5412626162675634E-4</v>
      </c>
    </row>
    <row r="132" spans="2:9">
      <c r="B132" s="7">
        <v>2015</v>
      </c>
      <c r="C132" s="7" t="s">
        <v>102</v>
      </c>
      <c r="D132" s="7" t="s">
        <v>111</v>
      </c>
      <c r="E132" s="7" t="s">
        <v>9</v>
      </c>
      <c r="F132" s="7" t="s">
        <v>92</v>
      </c>
      <c r="G132" s="7" t="s">
        <v>95</v>
      </c>
      <c r="H132" s="8">
        <v>148</v>
      </c>
      <c r="I132" s="9">
        <f t="shared" si="1"/>
        <v>5.8579061943399963E-4</v>
      </c>
    </row>
    <row r="133" spans="2:9">
      <c r="B133" s="7">
        <v>2015</v>
      </c>
      <c r="C133" s="7" t="s">
        <v>102</v>
      </c>
      <c r="D133" s="7" t="s">
        <v>111</v>
      </c>
      <c r="E133" s="7" t="s">
        <v>9</v>
      </c>
      <c r="F133" s="7" t="s">
        <v>94</v>
      </c>
      <c r="G133" s="7" t="s">
        <v>93</v>
      </c>
      <c r="H133" s="8">
        <v>547</v>
      </c>
      <c r="I133" s="9">
        <f t="shared" si="1"/>
        <v>2.1650504650702553E-3</v>
      </c>
    </row>
    <row r="134" spans="2:9">
      <c r="B134" s="7">
        <v>2015</v>
      </c>
      <c r="C134" s="7" t="s">
        <v>102</v>
      </c>
      <c r="D134" s="7" t="s">
        <v>111</v>
      </c>
      <c r="E134" s="7" t="s">
        <v>9</v>
      </c>
      <c r="F134" s="7" t="s">
        <v>94</v>
      </c>
      <c r="G134" s="7" t="s">
        <v>95</v>
      </c>
      <c r="H134" s="8">
        <v>522</v>
      </c>
      <c r="I134" s="9">
        <f t="shared" si="1"/>
        <v>2.06609934692262E-3</v>
      </c>
    </row>
    <row r="135" spans="2:9">
      <c r="B135" s="7">
        <v>2015</v>
      </c>
      <c r="C135" s="7" t="s">
        <v>102</v>
      </c>
      <c r="D135" s="7" t="s">
        <v>111</v>
      </c>
      <c r="E135" s="7" t="s">
        <v>10</v>
      </c>
      <c r="F135" s="7" t="s">
        <v>92</v>
      </c>
      <c r="G135" s="7" t="s">
        <v>93</v>
      </c>
      <c r="H135" s="8">
        <v>6</v>
      </c>
      <c r="I135" s="9">
        <f t="shared" si="1"/>
        <v>2.3748268355432416E-5</v>
      </c>
    </row>
    <row r="136" spans="2:9">
      <c r="B136" s="7">
        <v>2015</v>
      </c>
      <c r="C136" s="7" t="s">
        <v>102</v>
      </c>
      <c r="D136" s="7" t="s">
        <v>111</v>
      </c>
      <c r="E136" s="7" t="s">
        <v>10</v>
      </c>
      <c r="F136" s="7" t="s">
        <v>92</v>
      </c>
      <c r="G136" s="7" t="s">
        <v>95</v>
      </c>
      <c r="H136" s="8">
        <v>5</v>
      </c>
      <c r="I136" s="9">
        <f t="shared" si="1"/>
        <v>1.9790223629527014E-5</v>
      </c>
    </row>
    <row r="137" spans="2:9">
      <c r="B137" s="7">
        <v>2015</v>
      </c>
      <c r="C137" s="7" t="s">
        <v>102</v>
      </c>
      <c r="D137" s="7" t="s">
        <v>111</v>
      </c>
      <c r="E137" s="7" t="s">
        <v>10</v>
      </c>
      <c r="F137" s="7" t="s">
        <v>94</v>
      </c>
      <c r="G137" s="7" t="s">
        <v>93</v>
      </c>
      <c r="H137" s="8">
        <v>174</v>
      </c>
      <c r="I137" s="9">
        <f t="shared" si="1"/>
        <v>6.8869978230754012E-4</v>
      </c>
    </row>
    <row r="138" spans="2:9">
      <c r="B138" s="7">
        <v>2015</v>
      </c>
      <c r="C138" s="7" t="s">
        <v>102</v>
      </c>
      <c r="D138" s="7" t="s">
        <v>111</v>
      </c>
      <c r="E138" s="7" t="s">
        <v>10</v>
      </c>
      <c r="F138" s="7" t="s">
        <v>94</v>
      </c>
      <c r="G138" s="7" t="s">
        <v>95</v>
      </c>
      <c r="H138" s="8">
        <v>89</v>
      </c>
      <c r="I138" s="9">
        <f t="shared" si="1"/>
        <v>3.5226598060558083E-4</v>
      </c>
    </row>
    <row r="139" spans="2:9">
      <c r="B139" s="7">
        <v>2015</v>
      </c>
      <c r="C139" s="7" t="s">
        <v>112</v>
      </c>
      <c r="D139" s="7" t="s">
        <v>113</v>
      </c>
      <c r="E139" s="7" t="s">
        <v>9</v>
      </c>
      <c r="F139" s="7" t="s">
        <v>92</v>
      </c>
      <c r="G139" s="7" t="s">
        <v>93</v>
      </c>
      <c r="H139" s="8">
        <v>499</v>
      </c>
      <c r="I139" s="9">
        <f t="shared" si="1"/>
        <v>1.9750643182267959E-3</v>
      </c>
    </row>
    <row r="140" spans="2:9">
      <c r="B140" s="7">
        <v>2015</v>
      </c>
      <c r="C140" s="7" t="s">
        <v>112</v>
      </c>
      <c r="D140" s="7" t="s">
        <v>113</v>
      </c>
      <c r="E140" s="7" t="s">
        <v>9</v>
      </c>
      <c r="F140" s="7" t="s">
        <v>92</v>
      </c>
      <c r="G140" s="7" t="s">
        <v>95</v>
      </c>
      <c r="H140" s="8">
        <v>492</v>
      </c>
      <c r="I140" s="9">
        <f t="shared" ref="I140:I203" si="2">IFERROR(H140/$B$8,0)</f>
        <v>1.9473580051454582E-3</v>
      </c>
    </row>
    <row r="141" spans="2:9">
      <c r="B141" s="7">
        <v>2015</v>
      </c>
      <c r="C141" s="7" t="s">
        <v>112</v>
      </c>
      <c r="D141" s="7" t="s">
        <v>113</v>
      </c>
      <c r="E141" s="7" t="s">
        <v>9</v>
      </c>
      <c r="F141" s="7" t="s">
        <v>94</v>
      </c>
      <c r="G141" s="7" t="s">
        <v>93</v>
      </c>
      <c r="H141" s="8">
        <v>1450</v>
      </c>
      <c r="I141" s="9">
        <f t="shared" si="2"/>
        <v>5.7391648525628343E-3</v>
      </c>
    </row>
    <row r="142" spans="2:9">
      <c r="B142" s="7">
        <v>2015</v>
      </c>
      <c r="C142" s="7" t="s">
        <v>112</v>
      </c>
      <c r="D142" s="7" t="s">
        <v>113</v>
      </c>
      <c r="E142" s="7" t="s">
        <v>9</v>
      </c>
      <c r="F142" s="7" t="s">
        <v>94</v>
      </c>
      <c r="G142" s="7" t="s">
        <v>95</v>
      </c>
      <c r="H142" s="8">
        <v>1360</v>
      </c>
      <c r="I142" s="9">
        <f t="shared" si="2"/>
        <v>5.3829408272313478E-3</v>
      </c>
    </row>
    <row r="143" spans="2:9">
      <c r="B143" s="7">
        <v>2015</v>
      </c>
      <c r="C143" s="7" t="s">
        <v>112</v>
      </c>
      <c r="D143" s="7" t="s">
        <v>113</v>
      </c>
      <c r="E143" s="7" t="s">
        <v>10</v>
      </c>
      <c r="F143" s="7" t="s">
        <v>92</v>
      </c>
      <c r="G143" s="7" t="s">
        <v>93</v>
      </c>
      <c r="H143" s="8">
        <v>77</v>
      </c>
      <c r="I143" s="9">
        <f t="shared" si="2"/>
        <v>3.04769443894716E-4</v>
      </c>
    </row>
    <row r="144" spans="2:9">
      <c r="B144" s="7">
        <v>2015</v>
      </c>
      <c r="C144" s="7" t="s">
        <v>112</v>
      </c>
      <c r="D144" s="7" t="s">
        <v>113</v>
      </c>
      <c r="E144" s="7" t="s">
        <v>10</v>
      </c>
      <c r="F144" s="7" t="s">
        <v>92</v>
      </c>
      <c r="G144" s="7" t="s">
        <v>95</v>
      </c>
      <c r="H144" s="8">
        <v>66</v>
      </c>
      <c r="I144" s="9">
        <f t="shared" si="2"/>
        <v>2.6123095190975658E-4</v>
      </c>
    </row>
    <row r="145" spans="2:9">
      <c r="B145" s="7">
        <v>2015</v>
      </c>
      <c r="C145" s="7" t="s">
        <v>112</v>
      </c>
      <c r="D145" s="7" t="s">
        <v>113</v>
      </c>
      <c r="E145" s="7" t="s">
        <v>10</v>
      </c>
      <c r="F145" s="7" t="s">
        <v>94</v>
      </c>
      <c r="G145" s="7" t="s">
        <v>93</v>
      </c>
      <c r="H145" s="8">
        <v>2467</v>
      </c>
      <c r="I145" s="9">
        <f t="shared" si="2"/>
        <v>9.764496338808628E-3</v>
      </c>
    </row>
    <row r="146" spans="2:9">
      <c r="B146" s="7">
        <v>2015</v>
      </c>
      <c r="C146" s="7" t="s">
        <v>112</v>
      </c>
      <c r="D146" s="7" t="s">
        <v>113</v>
      </c>
      <c r="E146" s="7" t="s">
        <v>10</v>
      </c>
      <c r="F146" s="7" t="s">
        <v>94</v>
      </c>
      <c r="G146" s="7" t="s">
        <v>95</v>
      </c>
      <c r="H146" s="8">
        <v>1894</v>
      </c>
      <c r="I146" s="9">
        <f t="shared" si="2"/>
        <v>7.496536710864833E-3</v>
      </c>
    </row>
    <row r="147" spans="2:9">
      <c r="B147" s="7">
        <v>2015</v>
      </c>
      <c r="C147" s="7" t="s">
        <v>112</v>
      </c>
      <c r="D147" s="7" t="s">
        <v>114</v>
      </c>
      <c r="E147" s="7" t="s">
        <v>9</v>
      </c>
      <c r="F147" s="7" t="s">
        <v>92</v>
      </c>
      <c r="G147" s="7" t="s">
        <v>93</v>
      </c>
      <c r="H147" s="8">
        <v>1004</v>
      </c>
      <c r="I147" s="9">
        <f t="shared" si="2"/>
        <v>3.973876904809024E-3</v>
      </c>
    </row>
    <row r="148" spans="2:9">
      <c r="B148" s="7">
        <v>2015</v>
      </c>
      <c r="C148" s="7" t="s">
        <v>112</v>
      </c>
      <c r="D148" s="7" t="s">
        <v>114</v>
      </c>
      <c r="E148" s="7" t="s">
        <v>9</v>
      </c>
      <c r="F148" s="7" t="s">
        <v>92</v>
      </c>
      <c r="G148" s="7" t="s">
        <v>95</v>
      </c>
      <c r="H148" s="8">
        <v>598</v>
      </c>
      <c r="I148" s="9">
        <f t="shared" si="2"/>
        <v>2.3669107460914307E-3</v>
      </c>
    </row>
    <row r="149" spans="2:9">
      <c r="B149" s="7">
        <v>2015</v>
      </c>
      <c r="C149" s="7" t="s">
        <v>112</v>
      </c>
      <c r="D149" s="7" t="s">
        <v>114</v>
      </c>
      <c r="E149" s="7" t="s">
        <v>9</v>
      </c>
      <c r="F149" s="7" t="s">
        <v>94</v>
      </c>
      <c r="G149" s="7" t="s">
        <v>93</v>
      </c>
      <c r="H149" s="8">
        <v>1930</v>
      </c>
      <c r="I149" s="9">
        <f t="shared" si="2"/>
        <v>7.6390263209974276E-3</v>
      </c>
    </row>
    <row r="150" spans="2:9">
      <c r="B150" s="7">
        <v>2015</v>
      </c>
      <c r="C150" s="7" t="s">
        <v>112</v>
      </c>
      <c r="D150" s="7" t="s">
        <v>114</v>
      </c>
      <c r="E150" s="7" t="s">
        <v>9</v>
      </c>
      <c r="F150" s="7" t="s">
        <v>94</v>
      </c>
      <c r="G150" s="7" t="s">
        <v>95</v>
      </c>
      <c r="H150" s="8">
        <v>1726</v>
      </c>
      <c r="I150" s="9">
        <f t="shared" si="2"/>
        <v>6.8315851969127251E-3</v>
      </c>
    </row>
    <row r="151" spans="2:9">
      <c r="B151" s="7">
        <v>2015</v>
      </c>
      <c r="C151" s="7" t="s">
        <v>112</v>
      </c>
      <c r="D151" s="7" t="s">
        <v>114</v>
      </c>
      <c r="E151" s="7" t="s">
        <v>10</v>
      </c>
      <c r="F151" s="7" t="s">
        <v>92</v>
      </c>
      <c r="G151" s="7" t="s">
        <v>93</v>
      </c>
      <c r="H151" s="8">
        <v>73</v>
      </c>
      <c r="I151" s="9">
        <f t="shared" si="2"/>
        <v>2.889372649910944E-4</v>
      </c>
    </row>
    <row r="152" spans="2:9">
      <c r="B152" s="7">
        <v>2015</v>
      </c>
      <c r="C152" s="7" t="s">
        <v>112</v>
      </c>
      <c r="D152" s="7" t="s">
        <v>114</v>
      </c>
      <c r="E152" s="7" t="s">
        <v>10</v>
      </c>
      <c r="F152" s="7" t="s">
        <v>92</v>
      </c>
      <c r="G152" s="7" t="s">
        <v>95</v>
      </c>
      <c r="H152" s="8">
        <v>37</v>
      </c>
      <c r="I152" s="9">
        <f t="shared" si="2"/>
        <v>1.4644765485849991E-4</v>
      </c>
    </row>
    <row r="153" spans="2:9">
      <c r="B153" s="7">
        <v>2015</v>
      </c>
      <c r="C153" s="7" t="s">
        <v>112</v>
      </c>
      <c r="D153" s="7" t="s">
        <v>114</v>
      </c>
      <c r="E153" s="7" t="s">
        <v>10</v>
      </c>
      <c r="F153" s="7" t="s">
        <v>94</v>
      </c>
      <c r="G153" s="7" t="s">
        <v>93</v>
      </c>
      <c r="H153" s="8">
        <v>1522</v>
      </c>
      <c r="I153" s="9">
        <f t="shared" si="2"/>
        <v>6.0241440728280226E-3</v>
      </c>
    </row>
    <row r="154" spans="2:9">
      <c r="B154" s="7">
        <v>2015</v>
      </c>
      <c r="C154" s="7" t="s">
        <v>112</v>
      </c>
      <c r="D154" s="7" t="s">
        <v>114</v>
      </c>
      <c r="E154" s="7" t="s">
        <v>10</v>
      </c>
      <c r="F154" s="7" t="s">
        <v>94</v>
      </c>
      <c r="G154" s="7" t="s">
        <v>95</v>
      </c>
      <c r="H154" s="8">
        <v>1132</v>
      </c>
      <c r="I154" s="9">
        <f t="shared" si="2"/>
        <v>4.4805066297249159E-3</v>
      </c>
    </row>
    <row r="155" spans="2:9">
      <c r="B155" s="7">
        <v>2015</v>
      </c>
      <c r="C155" s="7" t="s">
        <v>112</v>
      </c>
      <c r="D155" s="7" t="s">
        <v>115</v>
      </c>
      <c r="E155" s="7" t="s">
        <v>9</v>
      </c>
      <c r="F155" s="7" t="s">
        <v>92</v>
      </c>
      <c r="G155" s="7" t="s">
        <v>93</v>
      </c>
      <c r="H155" s="8">
        <v>587</v>
      </c>
      <c r="I155" s="9">
        <f t="shared" si="2"/>
        <v>2.3233722541064713E-3</v>
      </c>
    </row>
    <row r="156" spans="2:9">
      <c r="B156" s="7">
        <v>2015</v>
      </c>
      <c r="C156" s="7" t="s">
        <v>112</v>
      </c>
      <c r="D156" s="7" t="s">
        <v>115</v>
      </c>
      <c r="E156" s="7" t="s">
        <v>9</v>
      </c>
      <c r="F156" s="7" t="s">
        <v>92</v>
      </c>
      <c r="G156" s="7" t="s">
        <v>95</v>
      </c>
      <c r="H156" s="8">
        <v>405</v>
      </c>
      <c r="I156" s="9">
        <f t="shared" si="2"/>
        <v>1.603008113991688E-3</v>
      </c>
    </row>
    <row r="157" spans="2:9">
      <c r="B157" s="7">
        <v>2015</v>
      </c>
      <c r="C157" s="7" t="s">
        <v>112</v>
      </c>
      <c r="D157" s="7" t="s">
        <v>115</v>
      </c>
      <c r="E157" s="7" t="s">
        <v>9</v>
      </c>
      <c r="F157" s="7" t="s">
        <v>94</v>
      </c>
      <c r="G157" s="7" t="s">
        <v>93</v>
      </c>
      <c r="H157" s="8">
        <v>766</v>
      </c>
      <c r="I157" s="9">
        <f t="shared" si="2"/>
        <v>3.0318622600435385E-3</v>
      </c>
    </row>
    <row r="158" spans="2:9">
      <c r="B158" s="7">
        <v>2015</v>
      </c>
      <c r="C158" s="7" t="s">
        <v>112</v>
      </c>
      <c r="D158" s="7" t="s">
        <v>115</v>
      </c>
      <c r="E158" s="7" t="s">
        <v>9</v>
      </c>
      <c r="F158" s="7" t="s">
        <v>94</v>
      </c>
      <c r="G158" s="7" t="s">
        <v>95</v>
      </c>
      <c r="H158" s="8">
        <v>679</v>
      </c>
      <c r="I158" s="9">
        <f t="shared" si="2"/>
        <v>2.6875123688897685E-3</v>
      </c>
    </row>
    <row r="159" spans="2:9">
      <c r="B159" s="7">
        <v>2015</v>
      </c>
      <c r="C159" s="7" t="s">
        <v>112</v>
      </c>
      <c r="D159" s="7" t="s">
        <v>115</v>
      </c>
      <c r="E159" s="7" t="s">
        <v>10</v>
      </c>
      <c r="F159" s="7" t="s">
        <v>92</v>
      </c>
      <c r="G159" s="7" t="s">
        <v>93</v>
      </c>
      <c r="H159" s="8">
        <v>164</v>
      </c>
      <c r="I159" s="9">
        <f t="shared" si="2"/>
        <v>6.49119335048486E-4</v>
      </c>
    </row>
    <row r="160" spans="2:9">
      <c r="B160" s="7">
        <v>2015</v>
      </c>
      <c r="C160" s="7" t="s">
        <v>112</v>
      </c>
      <c r="D160" s="7" t="s">
        <v>115</v>
      </c>
      <c r="E160" s="7" t="s">
        <v>10</v>
      </c>
      <c r="F160" s="7" t="s">
        <v>92</v>
      </c>
      <c r="G160" s="7" t="s">
        <v>95</v>
      </c>
      <c r="H160" s="8">
        <v>124</v>
      </c>
      <c r="I160" s="9">
        <f t="shared" si="2"/>
        <v>4.9079754601226997E-4</v>
      </c>
    </row>
    <row r="161" spans="2:9">
      <c r="B161" s="7">
        <v>2015</v>
      </c>
      <c r="C161" s="7" t="s">
        <v>112</v>
      </c>
      <c r="D161" s="7" t="s">
        <v>115</v>
      </c>
      <c r="E161" s="7" t="s">
        <v>10</v>
      </c>
      <c r="F161" s="7" t="s">
        <v>94</v>
      </c>
      <c r="G161" s="7" t="s">
        <v>93</v>
      </c>
      <c r="H161" s="8">
        <v>256</v>
      </c>
      <c r="I161" s="9">
        <f t="shared" si="2"/>
        <v>1.013259449831783E-3</v>
      </c>
    </row>
    <row r="162" spans="2:9">
      <c r="B162" s="7">
        <v>2015</v>
      </c>
      <c r="C162" s="7" t="s">
        <v>112</v>
      </c>
      <c r="D162" s="7" t="s">
        <v>115</v>
      </c>
      <c r="E162" s="7" t="s">
        <v>10</v>
      </c>
      <c r="F162" s="7" t="s">
        <v>94</v>
      </c>
      <c r="G162" s="7" t="s">
        <v>95</v>
      </c>
      <c r="H162" s="8">
        <v>192</v>
      </c>
      <c r="I162" s="9">
        <f t="shared" si="2"/>
        <v>7.5994458737383731E-4</v>
      </c>
    </row>
    <row r="163" spans="2:9">
      <c r="B163" s="7">
        <v>2015</v>
      </c>
      <c r="C163" s="7" t="s">
        <v>112</v>
      </c>
      <c r="D163" s="7" t="s">
        <v>116</v>
      </c>
      <c r="E163" s="7" t="s">
        <v>9</v>
      </c>
      <c r="F163" s="7" t="s">
        <v>92</v>
      </c>
      <c r="G163" s="7" t="s">
        <v>93</v>
      </c>
      <c r="H163" s="8">
        <v>630</v>
      </c>
      <c r="I163" s="9">
        <f t="shared" si="2"/>
        <v>2.4935681773204038E-3</v>
      </c>
    </row>
    <row r="164" spans="2:9">
      <c r="B164" s="7">
        <v>2015</v>
      </c>
      <c r="C164" s="7" t="s">
        <v>112</v>
      </c>
      <c r="D164" s="7" t="s">
        <v>116</v>
      </c>
      <c r="E164" s="7" t="s">
        <v>9</v>
      </c>
      <c r="F164" s="7" t="s">
        <v>92</v>
      </c>
      <c r="G164" s="7" t="s">
        <v>95</v>
      </c>
      <c r="H164" s="8">
        <v>393</v>
      </c>
      <c r="I164" s="9">
        <f t="shared" si="2"/>
        <v>1.5555115772808233E-3</v>
      </c>
    </row>
    <row r="165" spans="2:9">
      <c r="B165" s="7">
        <v>2015</v>
      </c>
      <c r="C165" s="7" t="s">
        <v>112</v>
      </c>
      <c r="D165" s="7" t="s">
        <v>116</v>
      </c>
      <c r="E165" s="7" t="s">
        <v>9</v>
      </c>
      <c r="F165" s="7" t="s">
        <v>94</v>
      </c>
      <c r="G165" s="7" t="s">
        <v>93</v>
      </c>
      <c r="H165" s="8">
        <v>1160</v>
      </c>
      <c r="I165" s="9">
        <f t="shared" si="2"/>
        <v>4.5913318820502667E-3</v>
      </c>
    </row>
    <row r="166" spans="2:9">
      <c r="B166" s="7">
        <v>2015</v>
      </c>
      <c r="C166" s="7" t="s">
        <v>112</v>
      </c>
      <c r="D166" s="7" t="s">
        <v>116</v>
      </c>
      <c r="E166" s="7" t="s">
        <v>9</v>
      </c>
      <c r="F166" s="7" t="s">
        <v>94</v>
      </c>
      <c r="G166" s="7" t="s">
        <v>95</v>
      </c>
      <c r="H166" s="8">
        <v>879</v>
      </c>
      <c r="I166" s="9">
        <f t="shared" si="2"/>
        <v>3.4791213140708491E-3</v>
      </c>
    </row>
    <row r="167" spans="2:9">
      <c r="B167" s="7">
        <v>2015</v>
      </c>
      <c r="C167" s="7" t="s">
        <v>112</v>
      </c>
      <c r="D167" s="7" t="s">
        <v>116</v>
      </c>
      <c r="E167" s="7" t="s">
        <v>10</v>
      </c>
      <c r="F167" s="7" t="s">
        <v>92</v>
      </c>
      <c r="G167" s="7" t="s">
        <v>93</v>
      </c>
      <c r="H167" s="8">
        <v>70</v>
      </c>
      <c r="I167" s="9">
        <f t="shared" si="2"/>
        <v>2.7706313081337817E-4</v>
      </c>
    </row>
    <row r="168" spans="2:9">
      <c r="B168" s="7">
        <v>2015</v>
      </c>
      <c r="C168" s="7" t="s">
        <v>112</v>
      </c>
      <c r="D168" s="7" t="s">
        <v>116</v>
      </c>
      <c r="E168" s="7" t="s">
        <v>10</v>
      </c>
      <c r="F168" s="7" t="s">
        <v>92</v>
      </c>
      <c r="G168" s="7" t="s">
        <v>95</v>
      </c>
      <c r="H168" s="8">
        <v>23</v>
      </c>
      <c r="I168" s="9">
        <f t="shared" si="2"/>
        <v>9.1035028695824266E-5</v>
      </c>
    </row>
    <row r="169" spans="2:9">
      <c r="B169" s="7">
        <v>2015</v>
      </c>
      <c r="C169" s="7" t="s">
        <v>112</v>
      </c>
      <c r="D169" s="7" t="s">
        <v>116</v>
      </c>
      <c r="E169" s="7" t="s">
        <v>10</v>
      </c>
      <c r="F169" s="7" t="s">
        <v>94</v>
      </c>
      <c r="G169" s="7" t="s">
        <v>93</v>
      </c>
      <c r="H169" s="8">
        <v>118</v>
      </c>
      <c r="I169" s="9">
        <f t="shared" si="2"/>
        <v>4.670492776568375E-4</v>
      </c>
    </row>
    <row r="170" spans="2:9">
      <c r="B170" s="7">
        <v>2015</v>
      </c>
      <c r="C170" s="7" t="s">
        <v>112</v>
      </c>
      <c r="D170" s="7" t="s">
        <v>116</v>
      </c>
      <c r="E170" s="7" t="s">
        <v>10</v>
      </c>
      <c r="F170" s="7" t="s">
        <v>94</v>
      </c>
      <c r="G170" s="7" t="s">
        <v>95</v>
      </c>
      <c r="H170" s="8">
        <v>75</v>
      </c>
      <c r="I170" s="9">
        <f t="shared" si="2"/>
        <v>2.9685335444290523E-4</v>
      </c>
    </row>
    <row r="171" spans="2:9">
      <c r="B171" s="7">
        <v>2015</v>
      </c>
      <c r="C171" s="7" t="s">
        <v>117</v>
      </c>
      <c r="D171" s="7" t="s">
        <v>118</v>
      </c>
      <c r="E171" s="7" t="s">
        <v>9</v>
      </c>
      <c r="F171" s="7" t="s">
        <v>92</v>
      </c>
      <c r="G171" s="7" t="s">
        <v>93</v>
      </c>
      <c r="H171" s="8">
        <v>784</v>
      </c>
      <c r="I171" s="9">
        <f t="shared" si="2"/>
        <v>3.1031070651098358E-3</v>
      </c>
    </row>
    <row r="172" spans="2:9">
      <c r="B172" s="7">
        <v>2015</v>
      </c>
      <c r="C172" s="7" t="s">
        <v>117</v>
      </c>
      <c r="D172" s="7" t="s">
        <v>118</v>
      </c>
      <c r="E172" s="7" t="s">
        <v>9</v>
      </c>
      <c r="F172" s="7" t="s">
        <v>92</v>
      </c>
      <c r="G172" s="7" t="s">
        <v>95</v>
      </c>
      <c r="H172" s="8">
        <v>454</v>
      </c>
      <c r="I172" s="9">
        <f t="shared" si="2"/>
        <v>1.7969523055610529E-3</v>
      </c>
    </row>
    <row r="173" spans="2:9">
      <c r="B173" s="7">
        <v>2015</v>
      </c>
      <c r="C173" s="7" t="s">
        <v>117</v>
      </c>
      <c r="D173" s="7" t="s">
        <v>118</v>
      </c>
      <c r="E173" s="7" t="s">
        <v>9</v>
      </c>
      <c r="F173" s="7" t="s">
        <v>94</v>
      </c>
      <c r="G173" s="7" t="s">
        <v>93</v>
      </c>
      <c r="H173" s="8">
        <v>1071</v>
      </c>
      <c r="I173" s="9">
        <f t="shared" si="2"/>
        <v>4.2390659014446865E-3</v>
      </c>
    </row>
    <row r="174" spans="2:9">
      <c r="B174" s="7">
        <v>2015</v>
      </c>
      <c r="C174" s="7" t="s">
        <v>117</v>
      </c>
      <c r="D174" s="7" t="s">
        <v>118</v>
      </c>
      <c r="E174" s="7" t="s">
        <v>9</v>
      </c>
      <c r="F174" s="7" t="s">
        <v>94</v>
      </c>
      <c r="G174" s="7" t="s">
        <v>95</v>
      </c>
      <c r="H174" s="8">
        <v>975</v>
      </c>
      <c r="I174" s="9">
        <f t="shared" si="2"/>
        <v>3.8590936077577678E-3</v>
      </c>
    </row>
    <row r="175" spans="2:9">
      <c r="B175" s="7">
        <v>2015</v>
      </c>
      <c r="C175" s="7" t="s">
        <v>117</v>
      </c>
      <c r="D175" s="7" t="s">
        <v>118</v>
      </c>
      <c r="E175" s="7" t="s">
        <v>10</v>
      </c>
      <c r="F175" s="7" t="s">
        <v>92</v>
      </c>
      <c r="G175" s="7" t="s">
        <v>93</v>
      </c>
      <c r="H175" s="8">
        <v>54</v>
      </c>
      <c r="I175" s="9">
        <f t="shared" si="2"/>
        <v>2.1373441519889174E-4</v>
      </c>
    </row>
    <row r="176" spans="2:9">
      <c r="B176" s="7">
        <v>2015</v>
      </c>
      <c r="C176" s="7" t="s">
        <v>117</v>
      </c>
      <c r="D176" s="7" t="s">
        <v>118</v>
      </c>
      <c r="E176" s="7" t="s">
        <v>10</v>
      </c>
      <c r="F176" s="7" t="s">
        <v>92</v>
      </c>
      <c r="G176" s="7" t="s">
        <v>95</v>
      </c>
      <c r="H176" s="8">
        <v>20</v>
      </c>
      <c r="I176" s="9">
        <f t="shared" si="2"/>
        <v>7.9160894518108058E-5</v>
      </c>
    </row>
    <row r="177" spans="2:9">
      <c r="B177" s="7">
        <v>2015</v>
      </c>
      <c r="C177" s="7" t="s">
        <v>117</v>
      </c>
      <c r="D177" s="7" t="s">
        <v>118</v>
      </c>
      <c r="E177" s="7" t="s">
        <v>10</v>
      </c>
      <c r="F177" s="7" t="s">
        <v>94</v>
      </c>
      <c r="G177" s="7" t="s">
        <v>93</v>
      </c>
      <c r="H177" s="8">
        <v>617</v>
      </c>
      <c r="I177" s="9">
        <f t="shared" si="2"/>
        <v>2.4421135958836333E-3</v>
      </c>
    </row>
    <row r="178" spans="2:9">
      <c r="B178" s="7">
        <v>2015</v>
      </c>
      <c r="C178" s="7" t="s">
        <v>117</v>
      </c>
      <c r="D178" s="7" t="s">
        <v>118</v>
      </c>
      <c r="E178" s="7" t="s">
        <v>10</v>
      </c>
      <c r="F178" s="7" t="s">
        <v>94</v>
      </c>
      <c r="G178" s="7" t="s">
        <v>95</v>
      </c>
      <c r="H178" s="8">
        <v>457</v>
      </c>
      <c r="I178" s="9">
        <f t="shared" si="2"/>
        <v>1.808826439738769E-3</v>
      </c>
    </row>
    <row r="179" spans="2:9">
      <c r="B179" s="7">
        <v>2015</v>
      </c>
      <c r="C179" s="7" t="s">
        <v>117</v>
      </c>
      <c r="D179" s="7" t="s">
        <v>119</v>
      </c>
      <c r="E179" s="7" t="s">
        <v>9</v>
      </c>
      <c r="F179" s="7" t="s">
        <v>92</v>
      </c>
      <c r="G179" s="7" t="s">
        <v>93</v>
      </c>
      <c r="H179" s="8">
        <v>3203</v>
      </c>
      <c r="I179" s="9">
        <f t="shared" si="2"/>
        <v>1.2677617257075006E-2</v>
      </c>
    </row>
    <row r="180" spans="2:9">
      <c r="B180" s="7">
        <v>2015</v>
      </c>
      <c r="C180" s="7" t="s">
        <v>117</v>
      </c>
      <c r="D180" s="7" t="s">
        <v>119</v>
      </c>
      <c r="E180" s="7" t="s">
        <v>9</v>
      </c>
      <c r="F180" s="7" t="s">
        <v>92</v>
      </c>
      <c r="G180" s="7" t="s">
        <v>95</v>
      </c>
      <c r="H180" s="8">
        <v>1856</v>
      </c>
      <c r="I180" s="9">
        <f t="shared" si="2"/>
        <v>7.3461310112804276E-3</v>
      </c>
    </row>
    <row r="181" spans="2:9">
      <c r="B181" s="7">
        <v>2015</v>
      </c>
      <c r="C181" s="7" t="s">
        <v>117</v>
      </c>
      <c r="D181" s="7" t="s">
        <v>119</v>
      </c>
      <c r="E181" s="7" t="s">
        <v>9</v>
      </c>
      <c r="F181" s="7" t="s">
        <v>94</v>
      </c>
      <c r="G181" s="7" t="s">
        <v>93</v>
      </c>
      <c r="H181" s="8">
        <v>7497</v>
      </c>
      <c r="I181" s="9">
        <f t="shared" si="2"/>
        <v>2.9673461310112805E-2</v>
      </c>
    </row>
    <row r="182" spans="2:9">
      <c r="B182" s="7">
        <v>2015</v>
      </c>
      <c r="C182" s="7" t="s">
        <v>117</v>
      </c>
      <c r="D182" s="7" t="s">
        <v>119</v>
      </c>
      <c r="E182" s="7" t="s">
        <v>9</v>
      </c>
      <c r="F182" s="7" t="s">
        <v>94</v>
      </c>
      <c r="G182" s="7" t="s">
        <v>95</v>
      </c>
      <c r="H182" s="8">
        <v>6382</v>
      </c>
      <c r="I182" s="9">
        <f t="shared" si="2"/>
        <v>2.526024144072828E-2</v>
      </c>
    </row>
    <row r="183" spans="2:9">
      <c r="B183" s="7">
        <v>2015</v>
      </c>
      <c r="C183" s="7" t="s">
        <v>117</v>
      </c>
      <c r="D183" s="7" t="s">
        <v>119</v>
      </c>
      <c r="E183" s="7" t="s">
        <v>10</v>
      </c>
      <c r="F183" s="7" t="s">
        <v>92</v>
      </c>
      <c r="G183" s="7" t="s">
        <v>93</v>
      </c>
      <c r="H183" s="8">
        <v>250</v>
      </c>
      <c r="I183" s="9">
        <f t="shared" si="2"/>
        <v>9.8951118147635065E-4</v>
      </c>
    </row>
    <row r="184" spans="2:9">
      <c r="B184" s="7">
        <v>2015</v>
      </c>
      <c r="C184" s="7" t="s">
        <v>117</v>
      </c>
      <c r="D184" s="7" t="s">
        <v>119</v>
      </c>
      <c r="E184" s="7" t="s">
        <v>10</v>
      </c>
      <c r="F184" s="7" t="s">
        <v>92</v>
      </c>
      <c r="G184" s="7" t="s">
        <v>95</v>
      </c>
      <c r="H184" s="8">
        <v>177</v>
      </c>
      <c r="I184" s="9">
        <f t="shared" si="2"/>
        <v>7.005739164852563E-4</v>
      </c>
    </row>
    <row r="185" spans="2:9">
      <c r="B185" s="7">
        <v>2015</v>
      </c>
      <c r="C185" s="7" t="s">
        <v>117</v>
      </c>
      <c r="D185" s="7" t="s">
        <v>119</v>
      </c>
      <c r="E185" s="7" t="s">
        <v>10</v>
      </c>
      <c r="F185" s="7" t="s">
        <v>94</v>
      </c>
      <c r="G185" s="7" t="s">
        <v>93</v>
      </c>
      <c r="H185" s="8">
        <v>5058</v>
      </c>
      <c r="I185" s="9">
        <f t="shared" si="2"/>
        <v>2.0019790223629527E-2</v>
      </c>
    </row>
    <row r="186" spans="2:9">
      <c r="B186" s="7">
        <v>2015</v>
      </c>
      <c r="C186" s="7" t="s">
        <v>117</v>
      </c>
      <c r="D186" s="7" t="s">
        <v>119</v>
      </c>
      <c r="E186" s="7" t="s">
        <v>10</v>
      </c>
      <c r="F186" s="7" t="s">
        <v>94</v>
      </c>
      <c r="G186" s="7" t="s">
        <v>95</v>
      </c>
      <c r="H186" s="8">
        <v>3615</v>
      </c>
      <c r="I186" s="9">
        <f t="shared" si="2"/>
        <v>1.430833168414803E-2</v>
      </c>
    </row>
    <row r="187" spans="2:9">
      <c r="B187" s="7">
        <v>2015</v>
      </c>
      <c r="C187" s="7" t="s">
        <v>117</v>
      </c>
      <c r="D187" s="7" t="s">
        <v>120</v>
      </c>
      <c r="E187" s="7" t="s">
        <v>9</v>
      </c>
      <c r="F187" s="7" t="s">
        <v>92</v>
      </c>
      <c r="G187" s="7" t="s">
        <v>93</v>
      </c>
      <c r="H187" s="8">
        <v>1786</v>
      </c>
      <c r="I187" s="9">
        <f t="shared" si="2"/>
        <v>7.0690678804670492E-3</v>
      </c>
    </row>
    <row r="188" spans="2:9">
      <c r="B188" s="7">
        <v>2015</v>
      </c>
      <c r="C188" s="7" t="s">
        <v>117</v>
      </c>
      <c r="D188" s="7" t="s">
        <v>120</v>
      </c>
      <c r="E188" s="7" t="s">
        <v>9</v>
      </c>
      <c r="F188" s="7" t="s">
        <v>92</v>
      </c>
      <c r="G188" s="7" t="s">
        <v>95</v>
      </c>
      <c r="H188" s="8">
        <v>1335</v>
      </c>
      <c r="I188" s="9">
        <f t="shared" si="2"/>
        <v>5.283989709083713E-3</v>
      </c>
    </row>
    <row r="189" spans="2:9">
      <c r="B189" s="7">
        <v>2015</v>
      </c>
      <c r="C189" s="7" t="s">
        <v>117</v>
      </c>
      <c r="D189" s="7" t="s">
        <v>120</v>
      </c>
      <c r="E189" s="7" t="s">
        <v>9</v>
      </c>
      <c r="F189" s="7" t="s">
        <v>94</v>
      </c>
      <c r="G189" s="7" t="s">
        <v>93</v>
      </c>
      <c r="H189" s="8">
        <v>5110</v>
      </c>
      <c r="I189" s="9">
        <f t="shared" si="2"/>
        <v>2.0225608549376609E-2</v>
      </c>
    </row>
    <row r="190" spans="2:9">
      <c r="B190" s="7">
        <v>2015</v>
      </c>
      <c r="C190" s="7" t="s">
        <v>117</v>
      </c>
      <c r="D190" s="7" t="s">
        <v>120</v>
      </c>
      <c r="E190" s="7" t="s">
        <v>9</v>
      </c>
      <c r="F190" s="7" t="s">
        <v>94</v>
      </c>
      <c r="G190" s="7" t="s">
        <v>95</v>
      </c>
      <c r="H190" s="8">
        <v>4466</v>
      </c>
      <c r="I190" s="9">
        <f t="shared" si="2"/>
        <v>1.7676627745893528E-2</v>
      </c>
    </row>
    <row r="191" spans="2:9">
      <c r="B191" s="7">
        <v>2015</v>
      </c>
      <c r="C191" s="7" t="s">
        <v>117</v>
      </c>
      <c r="D191" s="7" t="s">
        <v>120</v>
      </c>
      <c r="E191" s="7" t="s">
        <v>10</v>
      </c>
      <c r="F191" s="7" t="s">
        <v>92</v>
      </c>
      <c r="G191" s="7" t="s">
        <v>93</v>
      </c>
      <c r="H191" s="8">
        <v>95</v>
      </c>
      <c r="I191" s="9">
        <f t="shared" si="2"/>
        <v>3.7601424896101324E-4</v>
      </c>
    </row>
    <row r="192" spans="2:9">
      <c r="B192" s="7">
        <v>2015</v>
      </c>
      <c r="C192" s="7" t="s">
        <v>117</v>
      </c>
      <c r="D192" s="7" t="s">
        <v>120</v>
      </c>
      <c r="E192" s="7" t="s">
        <v>10</v>
      </c>
      <c r="F192" s="7" t="s">
        <v>92</v>
      </c>
      <c r="G192" s="7" t="s">
        <v>95</v>
      </c>
      <c r="H192" s="8">
        <v>63</v>
      </c>
      <c r="I192" s="9">
        <f t="shared" si="2"/>
        <v>2.493568177320404E-4</v>
      </c>
    </row>
    <row r="193" spans="2:9">
      <c r="B193" s="7">
        <v>2015</v>
      </c>
      <c r="C193" s="7" t="s">
        <v>117</v>
      </c>
      <c r="D193" s="7" t="s">
        <v>120</v>
      </c>
      <c r="E193" s="7" t="s">
        <v>10</v>
      </c>
      <c r="F193" s="7" t="s">
        <v>94</v>
      </c>
      <c r="G193" s="7" t="s">
        <v>93</v>
      </c>
      <c r="H193" s="8">
        <v>1070</v>
      </c>
      <c r="I193" s="9">
        <f t="shared" si="2"/>
        <v>4.2351078567187811E-3</v>
      </c>
    </row>
    <row r="194" spans="2:9">
      <c r="B194" s="7">
        <v>2015</v>
      </c>
      <c r="C194" s="7" t="s">
        <v>117</v>
      </c>
      <c r="D194" s="7" t="s">
        <v>120</v>
      </c>
      <c r="E194" s="7" t="s">
        <v>10</v>
      </c>
      <c r="F194" s="7" t="s">
        <v>94</v>
      </c>
      <c r="G194" s="7" t="s">
        <v>95</v>
      </c>
      <c r="H194" s="8">
        <v>831</v>
      </c>
      <c r="I194" s="9">
        <f t="shared" si="2"/>
        <v>3.2891351672273898E-3</v>
      </c>
    </row>
    <row r="195" spans="2:9">
      <c r="B195" s="7">
        <v>2015</v>
      </c>
      <c r="C195" s="7" t="s">
        <v>117</v>
      </c>
      <c r="D195" s="7" t="s">
        <v>121</v>
      </c>
      <c r="E195" s="7" t="s">
        <v>9</v>
      </c>
      <c r="F195" s="7" t="s">
        <v>92</v>
      </c>
      <c r="G195" s="7" t="s">
        <v>93</v>
      </c>
      <c r="H195" s="8">
        <v>4680</v>
      </c>
      <c r="I195" s="9">
        <f t="shared" si="2"/>
        <v>1.8523649317237285E-2</v>
      </c>
    </row>
    <row r="196" spans="2:9">
      <c r="B196" s="7">
        <v>2015</v>
      </c>
      <c r="C196" s="7" t="s">
        <v>117</v>
      </c>
      <c r="D196" s="7" t="s">
        <v>121</v>
      </c>
      <c r="E196" s="7" t="s">
        <v>9</v>
      </c>
      <c r="F196" s="7" t="s">
        <v>92</v>
      </c>
      <c r="G196" s="7" t="s">
        <v>95</v>
      </c>
      <c r="H196" s="8">
        <v>2343</v>
      </c>
      <c r="I196" s="9">
        <f t="shared" si="2"/>
        <v>9.2736987927963584E-3</v>
      </c>
    </row>
    <row r="197" spans="2:9">
      <c r="B197" s="7">
        <v>2015</v>
      </c>
      <c r="C197" s="7" t="s">
        <v>117</v>
      </c>
      <c r="D197" s="7" t="s">
        <v>121</v>
      </c>
      <c r="E197" s="7" t="s">
        <v>9</v>
      </c>
      <c r="F197" s="7" t="s">
        <v>94</v>
      </c>
      <c r="G197" s="7" t="s">
        <v>93</v>
      </c>
      <c r="H197" s="8">
        <v>23769</v>
      </c>
      <c r="I197" s="9">
        <f t="shared" si="2"/>
        <v>9.4078765090045521E-2</v>
      </c>
    </row>
    <row r="198" spans="2:9">
      <c r="B198" s="7">
        <v>2015</v>
      </c>
      <c r="C198" s="7" t="s">
        <v>117</v>
      </c>
      <c r="D198" s="7" t="s">
        <v>121</v>
      </c>
      <c r="E198" s="7" t="s">
        <v>9</v>
      </c>
      <c r="F198" s="7" t="s">
        <v>94</v>
      </c>
      <c r="G198" s="7" t="s">
        <v>95</v>
      </c>
      <c r="H198" s="8">
        <v>19141</v>
      </c>
      <c r="I198" s="9">
        <f t="shared" si="2"/>
        <v>7.5760934098555319E-2</v>
      </c>
    </row>
    <row r="199" spans="2:9">
      <c r="B199" s="7">
        <v>2015</v>
      </c>
      <c r="C199" s="7" t="s">
        <v>117</v>
      </c>
      <c r="D199" s="7" t="s">
        <v>121</v>
      </c>
      <c r="E199" s="7" t="s">
        <v>10</v>
      </c>
      <c r="F199" s="7" t="s">
        <v>92</v>
      </c>
      <c r="G199" s="7" t="s">
        <v>93</v>
      </c>
      <c r="H199" s="8">
        <v>846</v>
      </c>
      <c r="I199" s="9">
        <f t="shared" si="2"/>
        <v>3.3485058381159706E-3</v>
      </c>
    </row>
    <row r="200" spans="2:9">
      <c r="B200" s="7">
        <v>2015</v>
      </c>
      <c r="C200" s="7" t="s">
        <v>117</v>
      </c>
      <c r="D200" s="7" t="s">
        <v>121</v>
      </c>
      <c r="E200" s="7" t="s">
        <v>10</v>
      </c>
      <c r="F200" s="7" t="s">
        <v>92</v>
      </c>
      <c r="G200" s="7" t="s">
        <v>95</v>
      </c>
      <c r="H200" s="8">
        <v>566</v>
      </c>
      <c r="I200" s="9">
        <f t="shared" si="2"/>
        <v>2.2402533148624579E-3</v>
      </c>
    </row>
    <row r="201" spans="2:9">
      <c r="B201" s="7">
        <v>2015</v>
      </c>
      <c r="C201" s="7" t="s">
        <v>117</v>
      </c>
      <c r="D201" s="7" t="s">
        <v>121</v>
      </c>
      <c r="E201" s="7" t="s">
        <v>10</v>
      </c>
      <c r="F201" s="7" t="s">
        <v>94</v>
      </c>
      <c r="G201" s="7" t="s">
        <v>93</v>
      </c>
      <c r="H201" s="8">
        <v>9374</v>
      </c>
      <c r="I201" s="9">
        <f t="shared" si="2"/>
        <v>3.7102711260637244E-2</v>
      </c>
    </row>
    <row r="202" spans="2:9">
      <c r="B202" s="7">
        <v>2015</v>
      </c>
      <c r="C202" s="7" t="s">
        <v>117</v>
      </c>
      <c r="D202" s="7" t="s">
        <v>121</v>
      </c>
      <c r="E202" s="7" t="s">
        <v>10</v>
      </c>
      <c r="F202" s="7" t="s">
        <v>94</v>
      </c>
      <c r="G202" s="7" t="s">
        <v>95</v>
      </c>
      <c r="H202" s="8">
        <v>7766</v>
      </c>
      <c r="I202" s="9">
        <f t="shared" si="2"/>
        <v>3.0738175341381357E-2</v>
      </c>
    </row>
    <row r="203" spans="2:9">
      <c r="B203" s="7">
        <v>2015</v>
      </c>
      <c r="C203" s="7" t="s">
        <v>122</v>
      </c>
      <c r="D203" s="7" t="s">
        <v>123</v>
      </c>
      <c r="E203" s="7" t="s">
        <v>9</v>
      </c>
      <c r="F203" s="7" t="s">
        <v>92</v>
      </c>
      <c r="G203" s="7" t="s">
        <v>93</v>
      </c>
      <c r="H203" s="8">
        <v>1566</v>
      </c>
      <c r="I203" s="9">
        <f t="shared" si="2"/>
        <v>6.198298040767861E-3</v>
      </c>
    </row>
    <row r="204" spans="2:9">
      <c r="B204" s="7">
        <v>2015</v>
      </c>
      <c r="C204" s="7" t="s">
        <v>122</v>
      </c>
      <c r="D204" s="7" t="s">
        <v>123</v>
      </c>
      <c r="E204" s="7" t="s">
        <v>9</v>
      </c>
      <c r="F204" s="7" t="s">
        <v>92</v>
      </c>
      <c r="G204" s="7" t="s">
        <v>95</v>
      </c>
      <c r="H204" s="8">
        <v>1068</v>
      </c>
      <c r="I204" s="9">
        <f t="shared" ref="I204:I267" si="3">IFERROR(H204/$B$8,0)</f>
        <v>4.2271917672669704E-3</v>
      </c>
    </row>
    <row r="205" spans="2:9">
      <c r="B205" s="7">
        <v>2015</v>
      </c>
      <c r="C205" s="7" t="s">
        <v>122</v>
      </c>
      <c r="D205" s="7" t="s">
        <v>123</v>
      </c>
      <c r="E205" s="7" t="s">
        <v>9</v>
      </c>
      <c r="F205" s="7" t="s">
        <v>94</v>
      </c>
      <c r="G205" s="7" t="s">
        <v>93</v>
      </c>
      <c r="H205" s="8">
        <v>4024</v>
      </c>
      <c r="I205" s="9">
        <f t="shared" si="3"/>
        <v>1.5927171977043339E-2</v>
      </c>
    </row>
    <row r="206" spans="2:9">
      <c r="B206" s="7">
        <v>2015</v>
      </c>
      <c r="C206" s="7" t="s">
        <v>122</v>
      </c>
      <c r="D206" s="7" t="s">
        <v>123</v>
      </c>
      <c r="E206" s="7" t="s">
        <v>9</v>
      </c>
      <c r="F206" s="7" t="s">
        <v>94</v>
      </c>
      <c r="G206" s="7" t="s">
        <v>95</v>
      </c>
      <c r="H206" s="8">
        <v>3713</v>
      </c>
      <c r="I206" s="9">
        <f t="shared" si="3"/>
        <v>1.4696220067286761E-2</v>
      </c>
    </row>
    <row r="207" spans="2:9">
      <c r="B207" s="7">
        <v>2015</v>
      </c>
      <c r="C207" s="7" t="s">
        <v>122</v>
      </c>
      <c r="D207" s="7" t="s">
        <v>123</v>
      </c>
      <c r="E207" s="7" t="s">
        <v>10</v>
      </c>
      <c r="F207" s="7" t="s">
        <v>92</v>
      </c>
      <c r="G207" s="7" t="s">
        <v>93</v>
      </c>
      <c r="H207" s="8">
        <v>556</v>
      </c>
      <c r="I207" s="9">
        <f t="shared" si="3"/>
        <v>2.2006728676034039E-3</v>
      </c>
    </row>
    <row r="208" spans="2:9">
      <c r="B208" s="7">
        <v>2015</v>
      </c>
      <c r="C208" s="7" t="s">
        <v>122</v>
      </c>
      <c r="D208" s="7" t="s">
        <v>123</v>
      </c>
      <c r="E208" s="7" t="s">
        <v>10</v>
      </c>
      <c r="F208" s="7" t="s">
        <v>92</v>
      </c>
      <c r="G208" s="7" t="s">
        <v>95</v>
      </c>
      <c r="H208" s="8">
        <v>302</v>
      </c>
      <c r="I208" s="9">
        <f t="shared" si="3"/>
        <v>1.1953295072234316E-3</v>
      </c>
    </row>
    <row r="209" spans="2:9">
      <c r="B209" s="7">
        <v>2015</v>
      </c>
      <c r="C209" s="7" t="s">
        <v>122</v>
      </c>
      <c r="D209" s="7" t="s">
        <v>123</v>
      </c>
      <c r="E209" s="7" t="s">
        <v>10</v>
      </c>
      <c r="F209" s="7" t="s">
        <v>94</v>
      </c>
      <c r="G209" s="7" t="s">
        <v>93</v>
      </c>
      <c r="H209" s="8">
        <v>3038</v>
      </c>
      <c r="I209" s="9">
        <f t="shared" si="3"/>
        <v>1.2024539877300613E-2</v>
      </c>
    </row>
    <row r="210" spans="2:9">
      <c r="B210" s="7">
        <v>2015</v>
      </c>
      <c r="C210" s="7" t="s">
        <v>122</v>
      </c>
      <c r="D210" s="7" t="s">
        <v>123</v>
      </c>
      <c r="E210" s="7" t="s">
        <v>10</v>
      </c>
      <c r="F210" s="7" t="s">
        <v>94</v>
      </c>
      <c r="G210" s="7" t="s">
        <v>95</v>
      </c>
      <c r="H210" s="8">
        <v>2647</v>
      </c>
      <c r="I210" s="9">
        <f t="shared" si="3"/>
        <v>1.0476944389471601E-2</v>
      </c>
    </row>
    <row r="211" spans="2:9">
      <c r="B211" s="7">
        <v>2015</v>
      </c>
      <c r="C211" s="7" t="s">
        <v>122</v>
      </c>
      <c r="D211" s="7" t="s">
        <v>124</v>
      </c>
      <c r="E211" s="7" t="s">
        <v>9</v>
      </c>
      <c r="F211" s="7" t="s">
        <v>92</v>
      </c>
      <c r="G211" s="7" t="s">
        <v>93</v>
      </c>
      <c r="H211" s="8">
        <v>2215</v>
      </c>
      <c r="I211" s="9">
        <f t="shared" si="3"/>
        <v>8.7670690678804675E-3</v>
      </c>
    </row>
    <row r="212" spans="2:9">
      <c r="B212" s="7">
        <v>2015</v>
      </c>
      <c r="C212" s="7" t="s">
        <v>122</v>
      </c>
      <c r="D212" s="7" t="s">
        <v>124</v>
      </c>
      <c r="E212" s="7" t="s">
        <v>9</v>
      </c>
      <c r="F212" s="7" t="s">
        <v>92</v>
      </c>
      <c r="G212" s="7" t="s">
        <v>95</v>
      </c>
      <c r="H212" s="8">
        <v>1399</v>
      </c>
      <c r="I212" s="9">
        <f t="shared" si="3"/>
        <v>5.5373045715416585E-3</v>
      </c>
    </row>
    <row r="213" spans="2:9">
      <c r="B213" s="7">
        <v>2015</v>
      </c>
      <c r="C213" s="7" t="s">
        <v>122</v>
      </c>
      <c r="D213" s="7" t="s">
        <v>124</v>
      </c>
      <c r="E213" s="7" t="s">
        <v>9</v>
      </c>
      <c r="F213" s="7" t="s">
        <v>94</v>
      </c>
      <c r="G213" s="7" t="s">
        <v>93</v>
      </c>
      <c r="H213" s="8">
        <v>8230</v>
      </c>
      <c r="I213" s="9">
        <f t="shared" si="3"/>
        <v>3.2574708094201467E-2</v>
      </c>
    </row>
    <row r="214" spans="2:9">
      <c r="B214" s="7">
        <v>2015</v>
      </c>
      <c r="C214" s="7" t="s">
        <v>122</v>
      </c>
      <c r="D214" s="7" t="s">
        <v>124</v>
      </c>
      <c r="E214" s="7" t="s">
        <v>9</v>
      </c>
      <c r="F214" s="7" t="s">
        <v>94</v>
      </c>
      <c r="G214" s="7" t="s">
        <v>95</v>
      </c>
      <c r="H214" s="8">
        <v>6846</v>
      </c>
      <c r="I214" s="9">
        <f t="shared" si="3"/>
        <v>2.7096774193548386E-2</v>
      </c>
    </row>
    <row r="215" spans="2:9">
      <c r="B215" s="7">
        <v>2015</v>
      </c>
      <c r="C215" s="7" t="s">
        <v>122</v>
      </c>
      <c r="D215" s="7" t="s">
        <v>124</v>
      </c>
      <c r="E215" s="7" t="s">
        <v>10</v>
      </c>
      <c r="F215" s="7" t="s">
        <v>92</v>
      </c>
      <c r="G215" s="7" t="s">
        <v>93</v>
      </c>
      <c r="H215" s="8">
        <v>361</v>
      </c>
      <c r="I215" s="9">
        <f t="shared" si="3"/>
        <v>1.4288541460518503E-3</v>
      </c>
    </row>
    <row r="216" spans="2:9">
      <c r="B216" s="7">
        <v>2015</v>
      </c>
      <c r="C216" s="7" t="s">
        <v>122</v>
      </c>
      <c r="D216" s="7" t="s">
        <v>124</v>
      </c>
      <c r="E216" s="7" t="s">
        <v>10</v>
      </c>
      <c r="F216" s="7" t="s">
        <v>92</v>
      </c>
      <c r="G216" s="7" t="s">
        <v>95</v>
      </c>
      <c r="H216" s="8">
        <v>251</v>
      </c>
      <c r="I216" s="9">
        <f t="shared" si="3"/>
        <v>9.9346922620225601E-4</v>
      </c>
    </row>
    <row r="217" spans="2:9">
      <c r="B217" s="7">
        <v>2015</v>
      </c>
      <c r="C217" s="7" t="s">
        <v>122</v>
      </c>
      <c r="D217" s="7" t="s">
        <v>124</v>
      </c>
      <c r="E217" s="7" t="s">
        <v>10</v>
      </c>
      <c r="F217" s="7" t="s">
        <v>94</v>
      </c>
      <c r="G217" s="7" t="s">
        <v>93</v>
      </c>
      <c r="H217" s="8">
        <v>1705</v>
      </c>
      <c r="I217" s="9">
        <f t="shared" si="3"/>
        <v>6.7484662576687117E-3</v>
      </c>
    </row>
    <row r="218" spans="2:9">
      <c r="B218" s="7">
        <v>2015</v>
      </c>
      <c r="C218" s="7" t="s">
        <v>122</v>
      </c>
      <c r="D218" s="7" t="s">
        <v>124</v>
      </c>
      <c r="E218" s="7" t="s">
        <v>10</v>
      </c>
      <c r="F218" s="7" t="s">
        <v>94</v>
      </c>
      <c r="G218" s="7" t="s">
        <v>95</v>
      </c>
      <c r="H218" s="8">
        <v>1325</v>
      </c>
      <c r="I218" s="9">
        <f t="shared" si="3"/>
        <v>5.2444092618246585E-3</v>
      </c>
    </row>
    <row r="219" spans="2:9">
      <c r="B219" s="7">
        <v>2015</v>
      </c>
      <c r="C219" s="7" t="s">
        <v>122</v>
      </c>
      <c r="D219" s="7" t="s">
        <v>125</v>
      </c>
      <c r="E219" s="7" t="s">
        <v>9</v>
      </c>
      <c r="F219" s="7" t="s">
        <v>92</v>
      </c>
      <c r="G219" s="7" t="s">
        <v>93</v>
      </c>
      <c r="H219" s="8">
        <v>1913</v>
      </c>
      <c r="I219" s="9">
        <f t="shared" si="3"/>
        <v>7.5717395606570356E-3</v>
      </c>
    </row>
    <row r="220" spans="2:9">
      <c r="B220" s="7">
        <v>2015</v>
      </c>
      <c r="C220" s="7" t="s">
        <v>122</v>
      </c>
      <c r="D220" s="7" t="s">
        <v>125</v>
      </c>
      <c r="E220" s="7" t="s">
        <v>9</v>
      </c>
      <c r="F220" s="7" t="s">
        <v>92</v>
      </c>
      <c r="G220" s="7" t="s">
        <v>95</v>
      </c>
      <c r="H220" s="8">
        <v>803</v>
      </c>
      <c r="I220" s="9">
        <f t="shared" si="3"/>
        <v>3.1783099149020385E-3</v>
      </c>
    </row>
    <row r="221" spans="2:9">
      <c r="B221" s="7">
        <v>2015</v>
      </c>
      <c r="C221" s="7" t="s">
        <v>122</v>
      </c>
      <c r="D221" s="7" t="s">
        <v>125</v>
      </c>
      <c r="E221" s="7" t="s">
        <v>9</v>
      </c>
      <c r="F221" s="7" t="s">
        <v>94</v>
      </c>
      <c r="G221" s="7" t="s">
        <v>93</v>
      </c>
      <c r="H221" s="8">
        <v>3481</v>
      </c>
      <c r="I221" s="9">
        <f t="shared" si="3"/>
        <v>1.3777953690876707E-2</v>
      </c>
    </row>
    <row r="222" spans="2:9">
      <c r="B222" s="7">
        <v>2015</v>
      </c>
      <c r="C222" s="7" t="s">
        <v>122</v>
      </c>
      <c r="D222" s="7" t="s">
        <v>125</v>
      </c>
      <c r="E222" s="7" t="s">
        <v>9</v>
      </c>
      <c r="F222" s="7" t="s">
        <v>94</v>
      </c>
      <c r="G222" s="7" t="s">
        <v>95</v>
      </c>
      <c r="H222" s="8">
        <v>2593</v>
      </c>
      <c r="I222" s="9">
        <f t="shared" si="3"/>
        <v>1.026320997427271E-2</v>
      </c>
    </row>
    <row r="223" spans="2:9">
      <c r="B223" s="7">
        <v>2015</v>
      </c>
      <c r="C223" s="7" t="s">
        <v>122</v>
      </c>
      <c r="D223" s="7" t="s">
        <v>125</v>
      </c>
      <c r="E223" s="7" t="s">
        <v>10</v>
      </c>
      <c r="F223" s="7" t="s">
        <v>92</v>
      </c>
      <c r="G223" s="7" t="s">
        <v>93</v>
      </c>
      <c r="H223" s="8">
        <v>137</v>
      </c>
      <c r="I223" s="9">
        <f t="shared" si="3"/>
        <v>5.4225212744904016E-4</v>
      </c>
    </row>
    <row r="224" spans="2:9">
      <c r="B224" s="7">
        <v>2015</v>
      </c>
      <c r="C224" s="7" t="s">
        <v>122</v>
      </c>
      <c r="D224" s="7" t="s">
        <v>125</v>
      </c>
      <c r="E224" s="7" t="s">
        <v>10</v>
      </c>
      <c r="F224" s="7" t="s">
        <v>92</v>
      </c>
      <c r="G224" s="7" t="s">
        <v>95</v>
      </c>
      <c r="H224" s="8">
        <v>58</v>
      </c>
      <c r="I224" s="9">
        <f t="shared" si="3"/>
        <v>2.2956659410251336E-4</v>
      </c>
    </row>
    <row r="225" spans="2:9">
      <c r="B225" s="7">
        <v>2015</v>
      </c>
      <c r="C225" s="7" t="s">
        <v>122</v>
      </c>
      <c r="D225" s="7" t="s">
        <v>125</v>
      </c>
      <c r="E225" s="7" t="s">
        <v>10</v>
      </c>
      <c r="F225" s="7" t="s">
        <v>94</v>
      </c>
      <c r="G225" s="7" t="s">
        <v>93</v>
      </c>
      <c r="H225" s="8">
        <v>836</v>
      </c>
      <c r="I225" s="9">
        <f t="shared" si="3"/>
        <v>3.3089253908569166E-3</v>
      </c>
    </row>
    <row r="226" spans="2:9">
      <c r="B226" s="7">
        <v>2015</v>
      </c>
      <c r="C226" s="7" t="s">
        <v>122</v>
      </c>
      <c r="D226" s="7" t="s">
        <v>125</v>
      </c>
      <c r="E226" s="7" t="s">
        <v>10</v>
      </c>
      <c r="F226" s="7" t="s">
        <v>94</v>
      </c>
      <c r="G226" s="7" t="s">
        <v>95</v>
      </c>
      <c r="H226" s="8">
        <v>560</v>
      </c>
      <c r="I226" s="9">
        <f t="shared" si="3"/>
        <v>2.2165050465070254E-3</v>
      </c>
    </row>
    <row r="227" spans="2:9">
      <c r="B227" s="7">
        <v>2015</v>
      </c>
      <c r="C227" s="7" t="s">
        <v>126</v>
      </c>
      <c r="D227" s="7" t="s">
        <v>127</v>
      </c>
      <c r="E227" s="7" t="s">
        <v>9</v>
      </c>
      <c r="F227" s="7" t="s">
        <v>92</v>
      </c>
      <c r="G227" s="7" t="s">
        <v>93</v>
      </c>
      <c r="H227" s="8">
        <v>1</v>
      </c>
      <c r="I227" s="9">
        <f t="shared" si="3"/>
        <v>3.9580447259054024E-6</v>
      </c>
    </row>
    <row r="228" spans="2:9">
      <c r="B228" s="7">
        <v>2015</v>
      </c>
      <c r="C228" s="7" t="s">
        <v>126</v>
      </c>
      <c r="D228" s="7" t="s">
        <v>127</v>
      </c>
      <c r="E228" s="7" t="s">
        <v>9</v>
      </c>
      <c r="F228" s="7" t="s">
        <v>94</v>
      </c>
      <c r="G228" s="7" t="s">
        <v>93</v>
      </c>
      <c r="H228" s="8">
        <v>3</v>
      </c>
      <c r="I228" s="9">
        <f t="shared" si="3"/>
        <v>1.1874134177716208E-5</v>
      </c>
    </row>
    <row r="229" spans="2:9">
      <c r="B229" s="7">
        <v>2015</v>
      </c>
      <c r="C229" s="7" t="s">
        <v>126</v>
      </c>
      <c r="D229" s="7" t="s">
        <v>127</v>
      </c>
      <c r="E229" s="7" t="s">
        <v>9</v>
      </c>
      <c r="F229" s="7" t="s">
        <v>94</v>
      </c>
      <c r="G229" s="7" t="s">
        <v>95</v>
      </c>
      <c r="H229" s="8">
        <v>6</v>
      </c>
      <c r="I229" s="9">
        <f t="shared" si="3"/>
        <v>2.3748268355432416E-5</v>
      </c>
    </row>
    <row r="230" spans="2:9">
      <c r="B230" s="7">
        <v>2015</v>
      </c>
      <c r="C230" s="7" t="s">
        <v>126</v>
      </c>
      <c r="D230" s="7" t="s">
        <v>127</v>
      </c>
      <c r="E230" s="7" t="s">
        <v>10</v>
      </c>
      <c r="F230" s="7" t="s">
        <v>94</v>
      </c>
      <c r="G230" s="7" t="s">
        <v>93</v>
      </c>
      <c r="H230" s="8">
        <v>2</v>
      </c>
      <c r="I230" s="9">
        <f t="shared" si="3"/>
        <v>7.9160894518108048E-6</v>
      </c>
    </row>
    <row r="231" spans="2:9">
      <c r="B231" s="7">
        <v>2015</v>
      </c>
      <c r="C231" s="7" t="s">
        <v>126</v>
      </c>
      <c r="D231" s="7" t="s">
        <v>127</v>
      </c>
      <c r="E231" s="7" t="s">
        <v>10</v>
      </c>
      <c r="F231" s="7" t="s">
        <v>94</v>
      </c>
      <c r="G231" s="7" t="s">
        <v>95</v>
      </c>
      <c r="H231" s="8">
        <v>3</v>
      </c>
      <c r="I231" s="9">
        <f t="shared" si="3"/>
        <v>1.1874134177716208E-5</v>
      </c>
    </row>
    <row r="233" spans="2:9">
      <c r="B233" s="47" t="s">
        <v>130</v>
      </c>
      <c r="C233" s="47"/>
      <c r="D233" s="47"/>
      <c r="E233" s="47"/>
      <c r="F233" s="47"/>
      <c r="G233" s="47"/>
      <c r="H233" s="47"/>
      <c r="I233" s="47"/>
    </row>
  </sheetData>
  <mergeCells count="7">
    <mergeCell ref="B233:I233"/>
    <mergeCell ref="B1:I2"/>
    <mergeCell ref="B3:I3"/>
    <mergeCell ref="B5:I5"/>
    <mergeCell ref="B7:C7"/>
    <mergeCell ref="E7:F7"/>
    <mergeCell ref="H7:I7"/>
  </mergeCells>
  <hyperlinks>
    <hyperlink ref="A4" location="'Dashboard'!B11" display="← DASHBOARD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8"/>
  <sheetViews>
    <sheetView workbookViewId="0">
      <pane ySplit="11" topLeftCell="A12" activePane="bottomLeft" state="frozen"/>
      <selection pane="bottomLeft" activeCell="B11" sqref="B11"/>
    </sheetView>
  </sheetViews>
  <sheetFormatPr baseColWidth="10" defaultColWidth="8.83203125" defaultRowHeight="14"/>
  <cols>
    <col min="1" max="1" width="4" customWidth="1"/>
    <col min="2" max="2" width="12" customWidth="1"/>
    <col min="3" max="3" width="20" customWidth="1"/>
    <col min="4" max="4" width="9" customWidth="1"/>
    <col min="5" max="5" width="19" customWidth="1"/>
    <col min="6" max="6" width="16" customWidth="1"/>
    <col min="7" max="8" width="17" customWidth="1"/>
    <col min="9" max="9" width="14" customWidth="1"/>
  </cols>
  <sheetData>
    <row r="1" spans="1:9">
      <c r="A1" s="1"/>
      <c r="B1" s="46" t="s">
        <v>131</v>
      </c>
      <c r="C1" s="46"/>
      <c r="D1" s="46"/>
      <c r="E1" s="46"/>
      <c r="F1" s="46"/>
      <c r="G1" s="46"/>
      <c r="H1" s="46"/>
      <c r="I1" s="46"/>
    </row>
    <row r="2" spans="1:9">
      <c r="A2" s="1"/>
      <c r="B2" s="46"/>
      <c r="C2" s="46"/>
      <c r="D2" s="46"/>
      <c r="E2" s="46"/>
      <c r="F2" s="46"/>
      <c r="G2" s="46"/>
      <c r="H2" s="46"/>
      <c r="I2" s="46"/>
    </row>
    <row r="3" spans="1:9">
      <c r="B3" s="47" t="s">
        <v>56</v>
      </c>
      <c r="C3" s="47"/>
      <c r="D3" s="47"/>
      <c r="E3" s="47"/>
      <c r="F3" s="47"/>
      <c r="G3" s="47"/>
      <c r="H3" s="47"/>
      <c r="I3" s="47"/>
    </row>
    <row r="4" spans="1:9">
      <c r="A4" s="2" t="s">
        <v>57</v>
      </c>
      <c r="B4" s="2"/>
      <c r="C4" s="2"/>
    </row>
    <row r="5" spans="1:9">
      <c r="B5" s="47" t="s">
        <v>79</v>
      </c>
      <c r="C5" s="47"/>
      <c r="D5" s="47"/>
      <c r="E5" s="47"/>
      <c r="F5" s="47"/>
      <c r="G5" s="47"/>
      <c r="H5" s="47"/>
      <c r="I5" s="47"/>
    </row>
    <row r="7" spans="1:9" ht="15">
      <c r="B7" s="51" t="s">
        <v>80</v>
      </c>
      <c r="C7" s="51"/>
      <c r="D7" s="4"/>
      <c r="E7" s="51" t="s">
        <v>81</v>
      </c>
      <c r="F7" s="51"/>
      <c r="G7" s="4"/>
      <c r="H7" s="51" t="s">
        <v>82</v>
      </c>
      <c r="I7" s="51"/>
    </row>
    <row r="8" spans="1:9" ht="19">
      <c r="B8" s="3">
        <v>174920</v>
      </c>
      <c r="C8" s="3"/>
      <c r="D8" s="3"/>
      <c r="E8" s="3">
        <v>146789</v>
      </c>
      <c r="F8" s="3"/>
      <c r="G8" s="3"/>
      <c r="H8" s="3">
        <v>28131</v>
      </c>
      <c r="I8" s="3"/>
    </row>
    <row r="11" spans="1:9" ht="29" customHeight="1">
      <c r="B11" s="6" t="s">
        <v>8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</row>
    <row r="12" spans="1:9">
      <c r="B12" s="7">
        <v>2025</v>
      </c>
      <c r="C12" s="7" t="s">
        <v>90</v>
      </c>
      <c r="D12" s="7" t="s">
        <v>91</v>
      </c>
      <c r="E12" s="7" t="s">
        <v>9</v>
      </c>
      <c r="F12" s="7" t="s">
        <v>92</v>
      </c>
      <c r="G12" s="7" t="s">
        <v>93</v>
      </c>
      <c r="H12" s="8">
        <v>290</v>
      </c>
      <c r="I12" s="9">
        <f t="shared" ref="I12:I75" si="0">IFERROR(H12/$B$8,0)</f>
        <v>1.6579007546306884E-3</v>
      </c>
    </row>
    <row r="13" spans="1:9">
      <c r="B13" s="7">
        <v>2025</v>
      </c>
      <c r="C13" s="7" t="s">
        <v>90</v>
      </c>
      <c r="D13" s="7" t="s">
        <v>91</v>
      </c>
      <c r="E13" s="7" t="s">
        <v>9</v>
      </c>
      <c r="F13" s="7" t="s">
        <v>92</v>
      </c>
      <c r="G13" s="7" t="s">
        <v>95</v>
      </c>
      <c r="H13" s="8">
        <v>163</v>
      </c>
      <c r="I13" s="9">
        <f t="shared" si="0"/>
        <v>9.318545620855248E-4</v>
      </c>
    </row>
    <row r="14" spans="1:9">
      <c r="B14" s="7">
        <v>2025</v>
      </c>
      <c r="C14" s="7" t="s">
        <v>90</v>
      </c>
      <c r="D14" s="7" t="s">
        <v>91</v>
      </c>
      <c r="E14" s="7" t="s">
        <v>9</v>
      </c>
      <c r="F14" s="7" t="s">
        <v>94</v>
      </c>
      <c r="G14" s="7" t="s">
        <v>93</v>
      </c>
      <c r="H14" s="8">
        <v>142</v>
      </c>
      <c r="I14" s="9">
        <f t="shared" si="0"/>
        <v>8.1179967985364743E-4</v>
      </c>
    </row>
    <row r="15" spans="1:9">
      <c r="B15" s="7">
        <v>2025</v>
      </c>
      <c r="C15" s="7" t="s">
        <v>90</v>
      </c>
      <c r="D15" s="7" t="s">
        <v>91</v>
      </c>
      <c r="E15" s="7" t="s">
        <v>9</v>
      </c>
      <c r="F15" s="7" t="s">
        <v>94</v>
      </c>
      <c r="G15" s="7" t="s">
        <v>95</v>
      </c>
      <c r="H15" s="8">
        <v>87</v>
      </c>
      <c r="I15" s="9">
        <f t="shared" si="0"/>
        <v>4.9737022638920644E-4</v>
      </c>
    </row>
    <row r="16" spans="1:9">
      <c r="B16" s="7">
        <v>2025</v>
      </c>
      <c r="C16" s="7" t="s">
        <v>90</v>
      </c>
      <c r="D16" s="7" t="s">
        <v>91</v>
      </c>
      <c r="E16" s="7" t="s">
        <v>10</v>
      </c>
      <c r="F16" s="7" t="s">
        <v>92</v>
      </c>
      <c r="G16" s="7" t="s">
        <v>93</v>
      </c>
      <c r="H16" s="8">
        <v>3</v>
      </c>
      <c r="I16" s="9">
        <f t="shared" si="0"/>
        <v>1.7150697461696775E-5</v>
      </c>
    </row>
    <row r="17" spans="2:9">
      <c r="B17" s="7">
        <v>2025</v>
      </c>
      <c r="C17" s="7" t="s">
        <v>90</v>
      </c>
      <c r="D17" s="7" t="s">
        <v>91</v>
      </c>
      <c r="E17" s="7" t="s">
        <v>10</v>
      </c>
      <c r="F17" s="7" t="s">
        <v>92</v>
      </c>
      <c r="G17" s="7" t="s">
        <v>95</v>
      </c>
      <c r="H17" s="8">
        <v>1</v>
      </c>
      <c r="I17" s="9">
        <f t="shared" si="0"/>
        <v>5.7168991538989256E-6</v>
      </c>
    </row>
    <row r="18" spans="2:9">
      <c r="B18" s="7">
        <v>2025</v>
      </c>
      <c r="C18" s="7" t="s">
        <v>90</v>
      </c>
      <c r="D18" s="7" t="s">
        <v>91</v>
      </c>
      <c r="E18" s="7" t="s">
        <v>10</v>
      </c>
      <c r="F18" s="7" t="s">
        <v>94</v>
      </c>
      <c r="G18" s="7" t="s">
        <v>93</v>
      </c>
      <c r="H18" s="8">
        <v>120</v>
      </c>
      <c r="I18" s="9">
        <f t="shared" si="0"/>
        <v>6.8602789846787104E-4</v>
      </c>
    </row>
    <row r="19" spans="2:9">
      <c r="B19" s="7">
        <v>2025</v>
      </c>
      <c r="C19" s="7" t="s">
        <v>90</v>
      </c>
      <c r="D19" s="7" t="s">
        <v>91</v>
      </c>
      <c r="E19" s="7" t="s">
        <v>10</v>
      </c>
      <c r="F19" s="7" t="s">
        <v>94</v>
      </c>
      <c r="G19" s="7" t="s">
        <v>95</v>
      </c>
      <c r="H19" s="8">
        <v>68</v>
      </c>
      <c r="I19" s="9">
        <f t="shared" si="0"/>
        <v>3.8874914246512691E-4</v>
      </c>
    </row>
    <row r="20" spans="2:9">
      <c r="B20" s="7">
        <v>2025</v>
      </c>
      <c r="C20" s="7" t="s">
        <v>90</v>
      </c>
      <c r="D20" s="7" t="s">
        <v>96</v>
      </c>
      <c r="E20" s="7" t="s">
        <v>9</v>
      </c>
      <c r="F20" s="7" t="s">
        <v>92</v>
      </c>
      <c r="G20" s="7" t="s">
        <v>93</v>
      </c>
      <c r="H20" s="8">
        <v>835</v>
      </c>
      <c r="I20" s="9">
        <f t="shared" si="0"/>
        <v>4.7736107935056026E-3</v>
      </c>
    </row>
    <row r="21" spans="2:9">
      <c r="B21" s="7">
        <v>2025</v>
      </c>
      <c r="C21" s="7" t="s">
        <v>90</v>
      </c>
      <c r="D21" s="7" t="s">
        <v>96</v>
      </c>
      <c r="E21" s="7" t="s">
        <v>9</v>
      </c>
      <c r="F21" s="7" t="s">
        <v>92</v>
      </c>
      <c r="G21" s="7" t="s">
        <v>95</v>
      </c>
      <c r="H21" s="8">
        <v>531</v>
      </c>
      <c r="I21" s="9">
        <f t="shared" si="0"/>
        <v>3.0356734507203291E-3</v>
      </c>
    </row>
    <row r="22" spans="2:9">
      <c r="B22" s="7">
        <v>2025</v>
      </c>
      <c r="C22" s="7" t="s">
        <v>90</v>
      </c>
      <c r="D22" s="7" t="s">
        <v>96</v>
      </c>
      <c r="E22" s="7" t="s">
        <v>9</v>
      </c>
      <c r="F22" s="7" t="s">
        <v>94</v>
      </c>
      <c r="G22" s="7" t="s">
        <v>93</v>
      </c>
      <c r="H22" s="8">
        <v>1166</v>
      </c>
      <c r="I22" s="9">
        <f t="shared" si="0"/>
        <v>6.6659044134461465E-3</v>
      </c>
    </row>
    <row r="23" spans="2:9">
      <c r="B23" s="7">
        <v>2025</v>
      </c>
      <c r="C23" s="7" t="s">
        <v>90</v>
      </c>
      <c r="D23" s="7" t="s">
        <v>96</v>
      </c>
      <c r="E23" s="7" t="s">
        <v>9</v>
      </c>
      <c r="F23" s="7" t="s">
        <v>94</v>
      </c>
      <c r="G23" s="7" t="s">
        <v>95</v>
      </c>
      <c r="H23" s="8">
        <v>631</v>
      </c>
      <c r="I23" s="9">
        <f t="shared" si="0"/>
        <v>3.6073633661102217E-3</v>
      </c>
    </row>
    <row r="24" spans="2:9">
      <c r="B24" s="7">
        <v>2025</v>
      </c>
      <c r="C24" s="7" t="s">
        <v>90</v>
      </c>
      <c r="D24" s="7" t="s">
        <v>96</v>
      </c>
      <c r="E24" s="7" t="s">
        <v>10</v>
      </c>
      <c r="F24" s="7" t="s">
        <v>92</v>
      </c>
      <c r="G24" s="7" t="s">
        <v>93</v>
      </c>
      <c r="H24" s="8">
        <v>9</v>
      </c>
      <c r="I24" s="9">
        <f t="shared" si="0"/>
        <v>5.1452092385090329E-5</v>
      </c>
    </row>
    <row r="25" spans="2:9">
      <c r="B25" s="7">
        <v>2025</v>
      </c>
      <c r="C25" s="7" t="s">
        <v>90</v>
      </c>
      <c r="D25" s="7" t="s">
        <v>96</v>
      </c>
      <c r="E25" s="7" t="s">
        <v>10</v>
      </c>
      <c r="F25" s="7" t="s">
        <v>92</v>
      </c>
      <c r="G25" s="7" t="s">
        <v>95</v>
      </c>
      <c r="H25" s="8">
        <v>15</v>
      </c>
      <c r="I25" s="9">
        <f t="shared" si="0"/>
        <v>8.5753487308483879E-5</v>
      </c>
    </row>
    <row r="26" spans="2:9">
      <c r="B26" s="7">
        <v>2025</v>
      </c>
      <c r="C26" s="7" t="s">
        <v>90</v>
      </c>
      <c r="D26" s="7" t="s">
        <v>96</v>
      </c>
      <c r="E26" s="7" t="s">
        <v>10</v>
      </c>
      <c r="F26" s="7" t="s">
        <v>94</v>
      </c>
      <c r="G26" s="7" t="s">
        <v>93</v>
      </c>
      <c r="H26" s="8">
        <v>206</v>
      </c>
      <c r="I26" s="9">
        <f t="shared" si="0"/>
        <v>1.1776812257031787E-3</v>
      </c>
    </row>
    <row r="27" spans="2:9">
      <c r="B27" s="7">
        <v>2025</v>
      </c>
      <c r="C27" s="7" t="s">
        <v>90</v>
      </c>
      <c r="D27" s="7" t="s">
        <v>96</v>
      </c>
      <c r="E27" s="7" t="s">
        <v>10</v>
      </c>
      <c r="F27" s="7" t="s">
        <v>94</v>
      </c>
      <c r="G27" s="7" t="s">
        <v>95</v>
      </c>
      <c r="H27" s="8">
        <v>101</v>
      </c>
      <c r="I27" s="9">
        <f t="shared" si="0"/>
        <v>5.774068145437915E-4</v>
      </c>
    </row>
    <row r="28" spans="2:9">
      <c r="B28" s="7">
        <v>2025</v>
      </c>
      <c r="C28" s="7" t="s">
        <v>90</v>
      </c>
      <c r="D28" s="7" t="s">
        <v>97</v>
      </c>
      <c r="E28" s="7" t="s">
        <v>9</v>
      </c>
      <c r="F28" s="7" t="s">
        <v>92</v>
      </c>
      <c r="G28" s="7" t="s">
        <v>93</v>
      </c>
      <c r="H28" s="8">
        <v>348</v>
      </c>
      <c r="I28" s="9">
        <f t="shared" si="0"/>
        <v>1.9894809055568258E-3</v>
      </c>
    </row>
    <row r="29" spans="2:9">
      <c r="B29" s="7">
        <v>2025</v>
      </c>
      <c r="C29" s="7" t="s">
        <v>90</v>
      </c>
      <c r="D29" s="7" t="s">
        <v>97</v>
      </c>
      <c r="E29" s="7" t="s">
        <v>9</v>
      </c>
      <c r="F29" s="7" t="s">
        <v>92</v>
      </c>
      <c r="G29" s="7" t="s">
        <v>95</v>
      </c>
      <c r="H29" s="8">
        <v>222</v>
      </c>
      <c r="I29" s="9">
        <f t="shared" si="0"/>
        <v>1.2691516121655613E-3</v>
      </c>
    </row>
    <row r="30" spans="2:9">
      <c r="B30" s="7">
        <v>2025</v>
      </c>
      <c r="C30" s="7" t="s">
        <v>90</v>
      </c>
      <c r="D30" s="7" t="s">
        <v>97</v>
      </c>
      <c r="E30" s="7" t="s">
        <v>9</v>
      </c>
      <c r="F30" s="7" t="s">
        <v>94</v>
      </c>
      <c r="G30" s="7" t="s">
        <v>93</v>
      </c>
      <c r="H30" s="8">
        <v>246</v>
      </c>
      <c r="I30" s="9">
        <f t="shared" si="0"/>
        <v>1.4063571918591356E-3</v>
      </c>
    </row>
    <row r="31" spans="2:9">
      <c r="B31" s="7">
        <v>2025</v>
      </c>
      <c r="C31" s="7" t="s">
        <v>90</v>
      </c>
      <c r="D31" s="7" t="s">
        <v>97</v>
      </c>
      <c r="E31" s="7" t="s">
        <v>9</v>
      </c>
      <c r="F31" s="7" t="s">
        <v>94</v>
      </c>
      <c r="G31" s="7" t="s">
        <v>95</v>
      </c>
      <c r="H31" s="8">
        <v>177</v>
      </c>
      <c r="I31" s="9">
        <f t="shared" si="0"/>
        <v>1.0118911502401099E-3</v>
      </c>
    </row>
    <row r="32" spans="2:9">
      <c r="B32" s="7">
        <v>2025</v>
      </c>
      <c r="C32" s="7" t="s">
        <v>90</v>
      </c>
      <c r="D32" s="7" t="s">
        <v>97</v>
      </c>
      <c r="E32" s="7" t="s">
        <v>10</v>
      </c>
      <c r="F32" s="7" t="s">
        <v>92</v>
      </c>
      <c r="G32" s="7" t="s">
        <v>93</v>
      </c>
      <c r="H32" s="8">
        <v>1</v>
      </c>
      <c r="I32" s="9">
        <f t="shared" si="0"/>
        <v>5.7168991538989256E-6</v>
      </c>
    </row>
    <row r="33" spans="2:9">
      <c r="B33" s="7">
        <v>2025</v>
      </c>
      <c r="C33" s="7" t="s">
        <v>90</v>
      </c>
      <c r="D33" s="7" t="s">
        <v>97</v>
      </c>
      <c r="E33" s="7" t="s">
        <v>10</v>
      </c>
      <c r="F33" s="7" t="s">
        <v>92</v>
      </c>
      <c r="G33" s="7" t="s">
        <v>95</v>
      </c>
      <c r="H33" s="8">
        <v>1</v>
      </c>
      <c r="I33" s="9">
        <f t="shared" si="0"/>
        <v>5.7168991538989256E-6</v>
      </c>
    </row>
    <row r="34" spans="2:9">
      <c r="B34" s="7">
        <v>2025</v>
      </c>
      <c r="C34" s="7" t="s">
        <v>90</v>
      </c>
      <c r="D34" s="7" t="s">
        <v>97</v>
      </c>
      <c r="E34" s="7" t="s">
        <v>10</v>
      </c>
      <c r="F34" s="7" t="s">
        <v>94</v>
      </c>
      <c r="G34" s="7" t="s">
        <v>93</v>
      </c>
      <c r="H34" s="8">
        <v>89</v>
      </c>
      <c r="I34" s="9">
        <f t="shared" si="0"/>
        <v>5.0880402469700439E-4</v>
      </c>
    </row>
    <row r="35" spans="2:9">
      <c r="B35" s="7">
        <v>2025</v>
      </c>
      <c r="C35" s="7" t="s">
        <v>90</v>
      </c>
      <c r="D35" s="7" t="s">
        <v>97</v>
      </c>
      <c r="E35" s="7" t="s">
        <v>10</v>
      </c>
      <c r="F35" s="7" t="s">
        <v>94</v>
      </c>
      <c r="G35" s="7" t="s">
        <v>95</v>
      </c>
      <c r="H35" s="8">
        <v>47</v>
      </c>
      <c r="I35" s="9">
        <f t="shared" si="0"/>
        <v>2.6869426023324949E-4</v>
      </c>
    </row>
    <row r="36" spans="2:9">
      <c r="B36" s="7">
        <v>2025</v>
      </c>
      <c r="C36" s="7" t="s">
        <v>90</v>
      </c>
      <c r="D36" s="7" t="s">
        <v>98</v>
      </c>
      <c r="E36" s="7" t="s">
        <v>9</v>
      </c>
      <c r="F36" s="7" t="s">
        <v>92</v>
      </c>
      <c r="G36" s="7" t="s">
        <v>93</v>
      </c>
      <c r="H36" s="8">
        <v>3436</v>
      </c>
      <c r="I36" s="9">
        <f t="shared" si="0"/>
        <v>1.9643265492796706E-2</v>
      </c>
    </row>
    <row r="37" spans="2:9">
      <c r="B37" s="7">
        <v>2025</v>
      </c>
      <c r="C37" s="7" t="s">
        <v>90</v>
      </c>
      <c r="D37" s="7" t="s">
        <v>98</v>
      </c>
      <c r="E37" s="7" t="s">
        <v>9</v>
      </c>
      <c r="F37" s="7" t="s">
        <v>92</v>
      </c>
      <c r="G37" s="7" t="s">
        <v>95</v>
      </c>
      <c r="H37" s="8">
        <v>1714</v>
      </c>
      <c r="I37" s="9">
        <f t="shared" si="0"/>
        <v>9.7987651497827583E-3</v>
      </c>
    </row>
    <row r="38" spans="2:9">
      <c r="B38" s="7">
        <v>2025</v>
      </c>
      <c r="C38" s="7" t="s">
        <v>90</v>
      </c>
      <c r="D38" s="7" t="s">
        <v>98</v>
      </c>
      <c r="E38" s="7" t="s">
        <v>9</v>
      </c>
      <c r="F38" s="7" t="s">
        <v>94</v>
      </c>
      <c r="G38" s="7" t="s">
        <v>93</v>
      </c>
      <c r="H38" s="8">
        <v>1479</v>
      </c>
      <c r="I38" s="9">
        <f t="shared" si="0"/>
        <v>8.4552938486165095E-3</v>
      </c>
    </row>
    <row r="39" spans="2:9">
      <c r="B39" s="7">
        <v>2025</v>
      </c>
      <c r="C39" s="7" t="s">
        <v>90</v>
      </c>
      <c r="D39" s="7" t="s">
        <v>98</v>
      </c>
      <c r="E39" s="7" t="s">
        <v>9</v>
      </c>
      <c r="F39" s="7" t="s">
        <v>94</v>
      </c>
      <c r="G39" s="7" t="s">
        <v>95</v>
      </c>
      <c r="H39" s="8">
        <v>775</v>
      </c>
      <c r="I39" s="9">
        <f t="shared" si="0"/>
        <v>4.4305968442716667E-3</v>
      </c>
    </row>
    <row r="40" spans="2:9">
      <c r="B40" s="7">
        <v>2025</v>
      </c>
      <c r="C40" s="7" t="s">
        <v>90</v>
      </c>
      <c r="D40" s="7" t="s">
        <v>98</v>
      </c>
      <c r="E40" s="7" t="s">
        <v>10</v>
      </c>
      <c r="F40" s="7" t="s">
        <v>92</v>
      </c>
      <c r="G40" s="7" t="s">
        <v>93</v>
      </c>
      <c r="H40" s="8">
        <v>130</v>
      </c>
      <c r="I40" s="9">
        <f t="shared" si="0"/>
        <v>7.4319689000686032E-4</v>
      </c>
    </row>
    <row r="41" spans="2:9">
      <c r="B41" s="7">
        <v>2025</v>
      </c>
      <c r="C41" s="7" t="s">
        <v>90</v>
      </c>
      <c r="D41" s="7" t="s">
        <v>98</v>
      </c>
      <c r="E41" s="7" t="s">
        <v>10</v>
      </c>
      <c r="F41" s="7" t="s">
        <v>92</v>
      </c>
      <c r="G41" s="7" t="s">
        <v>95</v>
      </c>
      <c r="H41" s="8">
        <v>55</v>
      </c>
      <c r="I41" s="9">
        <f t="shared" si="0"/>
        <v>3.1442945346444088E-4</v>
      </c>
    </row>
    <row r="42" spans="2:9">
      <c r="B42" s="7">
        <v>2025</v>
      </c>
      <c r="C42" s="7" t="s">
        <v>90</v>
      </c>
      <c r="D42" s="7" t="s">
        <v>98</v>
      </c>
      <c r="E42" s="7" t="s">
        <v>10</v>
      </c>
      <c r="F42" s="7" t="s">
        <v>94</v>
      </c>
      <c r="G42" s="7" t="s">
        <v>93</v>
      </c>
      <c r="H42" s="8">
        <v>596</v>
      </c>
      <c r="I42" s="9">
        <f t="shared" si="0"/>
        <v>3.4072718957237594E-3</v>
      </c>
    </row>
    <row r="43" spans="2:9">
      <c r="B43" s="7">
        <v>2025</v>
      </c>
      <c r="C43" s="7" t="s">
        <v>90</v>
      </c>
      <c r="D43" s="7" t="s">
        <v>98</v>
      </c>
      <c r="E43" s="7" t="s">
        <v>10</v>
      </c>
      <c r="F43" s="7" t="s">
        <v>94</v>
      </c>
      <c r="G43" s="7" t="s">
        <v>95</v>
      </c>
      <c r="H43" s="8">
        <v>284</v>
      </c>
      <c r="I43" s="9">
        <f t="shared" si="0"/>
        <v>1.6235993597072949E-3</v>
      </c>
    </row>
    <row r="44" spans="2:9">
      <c r="B44" s="7">
        <v>2025</v>
      </c>
      <c r="C44" s="7" t="s">
        <v>90</v>
      </c>
      <c r="D44" s="7" t="s">
        <v>99</v>
      </c>
      <c r="E44" s="7" t="s">
        <v>9</v>
      </c>
      <c r="F44" s="7" t="s">
        <v>92</v>
      </c>
      <c r="G44" s="7" t="s">
        <v>93</v>
      </c>
      <c r="H44" s="8">
        <v>322</v>
      </c>
      <c r="I44" s="9">
        <f t="shared" si="0"/>
        <v>1.8408415275554539E-3</v>
      </c>
    </row>
    <row r="45" spans="2:9">
      <c r="B45" s="7">
        <v>2025</v>
      </c>
      <c r="C45" s="7" t="s">
        <v>90</v>
      </c>
      <c r="D45" s="7" t="s">
        <v>99</v>
      </c>
      <c r="E45" s="7" t="s">
        <v>9</v>
      </c>
      <c r="F45" s="7" t="s">
        <v>92</v>
      </c>
      <c r="G45" s="7" t="s">
        <v>95</v>
      </c>
      <c r="H45" s="8">
        <v>145</v>
      </c>
      <c r="I45" s="9">
        <f t="shared" si="0"/>
        <v>8.2895037731534418E-4</v>
      </c>
    </row>
    <row r="46" spans="2:9">
      <c r="B46" s="7">
        <v>2025</v>
      </c>
      <c r="C46" s="7" t="s">
        <v>90</v>
      </c>
      <c r="D46" s="7" t="s">
        <v>99</v>
      </c>
      <c r="E46" s="7" t="s">
        <v>9</v>
      </c>
      <c r="F46" s="7" t="s">
        <v>94</v>
      </c>
      <c r="G46" s="7" t="s">
        <v>93</v>
      </c>
      <c r="H46" s="8">
        <v>565</v>
      </c>
      <c r="I46" s="9">
        <f t="shared" si="0"/>
        <v>3.2300480219528927E-3</v>
      </c>
    </row>
    <row r="47" spans="2:9">
      <c r="B47" s="7">
        <v>2025</v>
      </c>
      <c r="C47" s="7" t="s">
        <v>90</v>
      </c>
      <c r="D47" s="7" t="s">
        <v>99</v>
      </c>
      <c r="E47" s="7" t="s">
        <v>9</v>
      </c>
      <c r="F47" s="7" t="s">
        <v>94</v>
      </c>
      <c r="G47" s="7" t="s">
        <v>95</v>
      </c>
      <c r="H47" s="8">
        <v>277</v>
      </c>
      <c r="I47" s="9">
        <f t="shared" si="0"/>
        <v>1.5835810656300022E-3</v>
      </c>
    </row>
    <row r="48" spans="2:9">
      <c r="B48" s="7">
        <v>2025</v>
      </c>
      <c r="C48" s="7" t="s">
        <v>90</v>
      </c>
      <c r="D48" s="7" t="s">
        <v>99</v>
      </c>
      <c r="E48" s="7" t="s">
        <v>10</v>
      </c>
      <c r="F48" s="7" t="s">
        <v>92</v>
      </c>
      <c r="G48" s="7" t="s">
        <v>93</v>
      </c>
      <c r="H48" s="8">
        <v>9</v>
      </c>
      <c r="I48" s="9">
        <f t="shared" si="0"/>
        <v>5.1452092385090329E-5</v>
      </c>
    </row>
    <row r="49" spans="2:9">
      <c r="B49" s="7">
        <v>2025</v>
      </c>
      <c r="C49" s="7" t="s">
        <v>90</v>
      </c>
      <c r="D49" s="7" t="s">
        <v>99</v>
      </c>
      <c r="E49" s="7" t="s">
        <v>10</v>
      </c>
      <c r="F49" s="7" t="s">
        <v>92</v>
      </c>
      <c r="G49" s="7" t="s">
        <v>95</v>
      </c>
      <c r="H49" s="8">
        <v>4</v>
      </c>
      <c r="I49" s="9">
        <f t="shared" si="0"/>
        <v>2.2867596615595703E-5</v>
      </c>
    </row>
    <row r="50" spans="2:9">
      <c r="B50" s="7">
        <v>2025</v>
      </c>
      <c r="C50" s="7" t="s">
        <v>90</v>
      </c>
      <c r="D50" s="7" t="s">
        <v>99</v>
      </c>
      <c r="E50" s="7" t="s">
        <v>10</v>
      </c>
      <c r="F50" s="7" t="s">
        <v>94</v>
      </c>
      <c r="G50" s="7" t="s">
        <v>93</v>
      </c>
      <c r="H50" s="8">
        <v>246</v>
      </c>
      <c r="I50" s="9">
        <f t="shared" si="0"/>
        <v>1.4063571918591356E-3</v>
      </c>
    </row>
    <row r="51" spans="2:9">
      <c r="B51" s="7">
        <v>2025</v>
      </c>
      <c r="C51" s="7" t="s">
        <v>90</v>
      </c>
      <c r="D51" s="7" t="s">
        <v>99</v>
      </c>
      <c r="E51" s="7" t="s">
        <v>10</v>
      </c>
      <c r="F51" s="7" t="s">
        <v>94</v>
      </c>
      <c r="G51" s="7" t="s">
        <v>95</v>
      </c>
      <c r="H51" s="8">
        <v>110</v>
      </c>
      <c r="I51" s="9">
        <f t="shared" si="0"/>
        <v>6.2885890692888175E-4</v>
      </c>
    </row>
    <row r="52" spans="2:9">
      <c r="B52" s="7">
        <v>2025</v>
      </c>
      <c r="C52" s="7" t="s">
        <v>90</v>
      </c>
      <c r="D52" s="7" t="s">
        <v>100</v>
      </c>
      <c r="E52" s="7" t="s">
        <v>9</v>
      </c>
      <c r="F52" s="7" t="s">
        <v>92</v>
      </c>
      <c r="G52" s="7" t="s">
        <v>93</v>
      </c>
      <c r="H52" s="8">
        <v>203</v>
      </c>
      <c r="I52" s="9">
        <f t="shared" si="0"/>
        <v>1.1605305282414819E-3</v>
      </c>
    </row>
    <row r="53" spans="2:9">
      <c r="B53" s="7">
        <v>2025</v>
      </c>
      <c r="C53" s="7" t="s">
        <v>90</v>
      </c>
      <c r="D53" s="7" t="s">
        <v>100</v>
      </c>
      <c r="E53" s="7" t="s">
        <v>9</v>
      </c>
      <c r="F53" s="7" t="s">
        <v>92</v>
      </c>
      <c r="G53" s="7" t="s">
        <v>95</v>
      </c>
      <c r="H53" s="8">
        <v>103</v>
      </c>
      <c r="I53" s="9">
        <f t="shared" si="0"/>
        <v>5.8884061285158933E-4</v>
      </c>
    </row>
    <row r="54" spans="2:9">
      <c r="B54" s="7">
        <v>2025</v>
      </c>
      <c r="C54" s="7" t="s">
        <v>90</v>
      </c>
      <c r="D54" s="7" t="s">
        <v>100</v>
      </c>
      <c r="E54" s="7" t="s">
        <v>9</v>
      </c>
      <c r="F54" s="7" t="s">
        <v>94</v>
      </c>
      <c r="G54" s="7" t="s">
        <v>93</v>
      </c>
      <c r="H54" s="8">
        <v>154</v>
      </c>
      <c r="I54" s="9">
        <f t="shared" si="0"/>
        <v>8.8040246970043444E-4</v>
      </c>
    </row>
    <row r="55" spans="2:9">
      <c r="B55" s="7">
        <v>2025</v>
      </c>
      <c r="C55" s="7" t="s">
        <v>90</v>
      </c>
      <c r="D55" s="7" t="s">
        <v>100</v>
      </c>
      <c r="E55" s="7" t="s">
        <v>9</v>
      </c>
      <c r="F55" s="7" t="s">
        <v>94</v>
      </c>
      <c r="G55" s="7" t="s">
        <v>95</v>
      </c>
      <c r="H55" s="8">
        <v>71</v>
      </c>
      <c r="I55" s="9">
        <f t="shared" si="0"/>
        <v>4.0589983992682371E-4</v>
      </c>
    </row>
    <row r="56" spans="2:9">
      <c r="B56" s="7">
        <v>2025</v>
      </c>
      <c r="C56" s="7" t="s">
        <v>90</v>
      </c>
      <c r="D56" s="7" t="s">
        <v>100</v>
      </c>
      <c r="E56" s="7" t="s">
        <v>10</v>
      </c>
      <c r="F56" s="7" t="s">
        <v>92</v>
      </c>
      <c r="G56" s="7" t="s">
        <v>95</v>
      </c>
      <c r="H56" s="8">
        <v>2</v>
      </c>
      <c r="I56" s="9">
        <f t="shared" si="0"/>
        <v>1.1433798307797851E-5</v>
      </c>
    </row>
    <row r="57" spans="2:9">
      <c r="B57" s="7">
        <v>2025</v>
      </c>
      <c r="C57" s="7" t="s">
        <v>90</v>
      </c>
      <c r="D57" s="7" t="s">
        <v>100</v>
      </c>
      <c r="E57" s="7" t="s">
        <v>10</v>
      </c>
      <c r="F57" s="7" t="s">
        <v>94</v>
      </c>
      <c r="G57" s="7" t="s">
        <v>93</v>
      </c>
      <c r="H57" s="8">
        <v>51</v>
      </c>
      <c r="I57" s="9">
        <f t="shared" si="0"/>
        <v>2.9156185684884521E-4</v>
      </c>
    </row>
    <row r="58" spans="2:9">
      <c r="B58" s="7">
        <v>2025</v>
      </c>
      <c r="C58" s="7" t="s">
        <v>90</v>
      </c>
      <c r="D58" s="7" t="s">
        <v>100</v>
      </c>
      <c r="E58" s="7" t="s">
        <v>10</v>
      </c>
      <c r="F58" s="7" t="s">
        <v>94</v>
      </c>
      <c r="G58" s="7" t="s">
        <v>95</v>
      </c>
      <c r="H58" s="8">
        <v>19</v>
      </c>
      <c r="I58" s="9">
        <f t="shared" si="0"/>
        <v>1.0862108392407958E-4</v>
      </c>
    </row>
    <row r="59" spans="2:9">
      <c r="B59" s="7">
        <v>2025</v>
      </c>
      <c r="C59" s="7" t="s">
        <v>90</v>
      </c>
      <c r="D59" s="7" t="s">
        <v>101</v>
      </c>
      <c r="E59" s="7" t="s">
        <v>9</v>
      </c>
      <c r="F59" s="7" t="s">
        <v>92</v>
      </c>
      <c r="G59" s="7" t="s">
        <v>93</v>
      </c>
      <c r="H59" s="8">
        <v>226</v>
      </c>
      <c r="I59" s="9">
        <f t="shared" si="0"/>
        <v>1.292019208781157E-3</v>
      </c>
    </row>
    <row r="60" spans="2:9">
      <c r="B60" s="7">
        <v>2025</v>
      </c>
      <c r="C60" s="7" t="s">
        <v>90</v>
      </c>
      <c r="D60" s="7" t="s">
        <v>101</v>
      </c>
      <c r="E60" s="7" t="s">
        <v>9</v>
      </c>
      <c r="F60" s="7" t="s">
        <v>92</v>
      </c>
      <c r="G60" s="7" t="s">
        <v>95</v>
      </c>
      <c r="H60" s="8">
        <v>114</v>
      </c>
      <c r="I60" s="9">
        <f t="shared" si="0"/>
        <v>6.5172650354447742E-4</v>
      </c>
    </row>
    <row r="61" spans="2:9">
      <c r="B61" s="7">
        <v>2025</v>
      </c>
      <c r="C61" s="7" t="s">
        <v>90</v>
      </c>
      <c r="D61" s="7" t="s">
        <v>101</v>
      </c>
      <c r="E61" s="7" t="s">
        <v>9</v>
      </c>
      <c r="F61" s="7" t="s">
        <v>94</v>
      </c>
      <c r="G61" s="7" t="s">
        <v>93</v>
      </c>
      <c r="H61" s="8">
        <v>486</v>
      </c>
      <c r="I61" s="9">
        <f t="shared" si="0"/>
        <v>2.7784129887948776E-3</v>
      </c>
    </row>
    <row r="62" spans="2:9">
      <c r="B62" s="7">
        <v>2025</v>
      </c>
      <c r="C62" s="7" t="s">
        <v>90</v>
      </c>
      <c r="D62" s="7" t="s">
        <v>101</v>
      </c>
      <c r="E62" s="7" t="s">
        <v>9</v>
      </c>
      <c r="F62" s="7" t="s">
        <v>94</v>
      </c>
      <c r="G62" s="7" t="s">
        <v>95</v>
      </c>
      <c r="H62" s="8">
        <v>229</v>
      </c>
      <c r="I62" s="9">
        <f t="shared" si="0"/>
        <v>1.309169906242854E-3</v>
      </c>
    </row>
    <row r="63" spans="2:9">
      <c r="B63" s="7">
        <v>2025</v>
      </c>
      <c r="C63" s="7" t="s">
        <v>90</v>
      </c>
      <c r="D63" s="7" t="s">
        <v>101</v>
      </c>
      <c r="E63" s="7" t="s">
        <v>10</v>
      </c>
      <c r="F63" s="7" t="s">
        <v>92</v>
      </c>
      <c r="G63" s="7" t="s">
        <v>93</v>
      </c>
      <c r="H63" s="8">
        <v>25</v>
      </c>
      <c r="I63" s="9">
        <f t="shared" si="0"/>
        <v>1.4292247884747312E-4</v>
      </c>
    </row>
    <row r="64" spans="2:9">
      <c r="B64" s="7">
        <v>2025</v>
      </c>
      <c r="C64" s="7" t="s">
        <v>90</v>
      </c>
      <c r="D64" s="7" t="s">
        <v>101</v>
      </c>
      <c r="E64" s="7" t="s">
        <v>10</v>
      </c>
      <c r="F64" s="7" t="s">
        <v>92</v>
      </c>
      <c r="G64" s="7" t="s">
        <v>95</v>
      </c>
      <c r="H64" s="8">
        <v>6</v>
      </c>
      <c r="I64" s="9">
        <f t="shared" si="0"/>
        <v>3.430139492339355E-5</v>
      </c>
    </row>
    <row r="65" spans="2:9">
      <c r="B65" s="7">
        <v>2025</v>
      </c>
      <c r="C65" s="7" t="s">
        <v>90</v>
      </c>
      <c r="D65" s="7" t="s">
        <v>101</v>
      </c>
      <c r="E65" s="7" t="s">
        <v>10</v>
      </c>
      <c r="F65" s="7" t="s">
        <v>94</v>
      </c>
      <c r="G65" s="7" t="s">
        <v>93</v>
      </c>
      <c r="H65" s="8">
        <v>129</v>
      </c>
      <c r="I65" s="9">
        <f t="shared" si="0"/>
        <v>7.374799908529614E-4</v>
      </c>
    </row>
    <row r="66" spans="2:9">
      <c r="B66" s="7">
        <v>2025</v>
      </c>
      <c r="C66" s="7" t="s">
        <v>90</v>
      </c>
      <c r="D66" s="7" t="s">
        <v>101</v>
      </c>
      <c r="E66" s="7" t="s">
        <v>10</v>
      </c>
      <c r="F66" s="7" t="s">
        <v>94</v>
      </c>
      <c r="G66" s="7" t="s">
        <v>95</v>
      </c>
      <c r="H66" s="8">
        <v>38</v>
      </c>
      <c r="I66" s="9">
        <f t="shared" si="0"/>
        <v>2.1724216784815915E-4</v>
      </c>
    </row>
    <row r="67" spans="2:9">
      <c r="B67" s="7">
        <v>2025</v>
      </c>
      <c r="C67" s="7" t="s">
        <v>102</v>
      </c>
      <c r="D67" s="7" t="s">
        <v>103</v>
      </c>
      <c r="E67" s="7" t="s">
        <v>9</v>
      </c>
      <c r="F67" s="7" t="s">
        <v>92</v>
      </c>
      <c r="G67" s="7" t="s">
        <v>93</v>
      </c>
      <c r="H67" s="8">
        <v>540</v>
      </c>
      <c r="I67" s="9">
        <f t="shared" si="0"/>
        <v>3.0871255431054196E-3</v>
      </c>
    </row>
    <row r="68" spans="2:9">
      <c r="B68" s="7">
        <v>2025</v>
      </c>
      <c r="C68" s="7" t="s">
        <v>102</v>
      </c>
      <c r="D68" s="7" t="s">
        <v>103</v>
      </c>
      <c r="E68" s="7" t="s">
        <v>9</v>
      </c>
      <c r="F68" s="7" t="s">
        <v>92</v>
      </c>
      <c r="G68" s="7" t="s">
        <v>95</v>
      </c>
      <c r="H68" s="8">
        <v>369</v>
      </c>
      <c r="I68" s="9">
        <f t="shared" si="0"/>
        <v>2.1095357877887033E-3</v>
      </c>
    </row>
    <row r="69" spans="2:9">
      <c r="B69" s="7">
        <v>2025</v>
      </c>
      <c r="C69" s="7" t="s">
        <v>102</v>
      </c>
      <c r="D69" s="7" t="s">
        <v>103</v>
      </c>
      <c r="E69" s="7" t="s">
        <v>9</v>
      </c>
      <c r="F69" s="7" t="s">
        <v>94</v>
      </c>
      <c r="G69" s="7" t="s">
        <v>93</v>
      </c>
      <c r="H69" s="8">
        <v>762</v>
      </c>
      <c r="I69" s="9">
        <f t="shared" si="0"/>
        <v>4.3562771552709814E-3</v>
      </c>
    </row>
    <row r="70" spans="2:9">
      <c r="B70" s="7">
        <v>2025</v>
      </c>
      <c r="C70" s="7" t="s">
        <v>102</v>
      </c>
      <c r="D70" s="7" t="s">
        <v>103</v>
      </c>
      <c r="E70" s="7" t="s">
        <v>9</v>
      </c>
      <c r="F70" s="7" t="s">
        <v>94</v>
      </c>
      <c r="G70" s="7" t="s">
        <v>95</v>
      </c>
      <c r="H70" s="8">
        <v>347</v>
      </c>
      <c r="I70" s="9">
        <f t="shared" si="0"/>
        <v>1.9837640064029271E-3</v>
      </c>
    </row>
    <row r="71" spans="2:9">
      <c r="B71" s="7">
        <v>2025</v>
      </c>
      <c r="C71" s="7" t="s">
        <v>102</v>
      </c>
      <c r="D71" s="7" t="s">
        <v>103</v>
      </c>
      <c r="E71" s="7" t="s">
        <v>10</v>
      </c>
      <c r="F71" s="7" t="s">
        <v>92</v>
      </c>
      <c r="G71" s="7" t="s">
        <v>93</v>
      </c>
      <c r="H71" s="8">
        <v>60</v>
      </c>
      <c r="I71" s="9">
        <f t="shared" si="0"/>
        <v>3.4301394923393552E-4</v>
      </c>
    </row>
    <row r="72" spans="2:9">
      <c r="B72" s="7">
        <v>2025</v>
      </c>
      <c r="C72" s="7" t="s">
        <v>102</v>
      </c>
      <c r="D72" s="7" t="s">
        <v>103</v>
      </c>
      <c r="E72" s="7" t="s">
        <v>10</v>
      </c>
      <c r="F72" s="7" t="s">
        <v>92</v>
      </c>
      <c r="G72" s="7" t="s">
        <v>95</v>
      </c>
      <c r="H72" s="8">
        <v>42</v>
      </c>
      <c r="I72" s="9">
        <f t="shared" si="0"/>
        <v>2.4010976446375485E-4</v>
      </c>
    </row>
    <row r="73" spans="2:9">
      <c r="B73" s="7">
        <v>2025</v>
      </c>
      <c r="C73" s="7" t="s">
        <v>102</v>
      </c>
      <c r="D73" s="7" t="s">
        <v>103</v>
      </c>
      <c r="E73" s="7" t="s">
        <v>10</v>
      </c>
      <c r="F73" s="7" t="s">
        <v>94</v>
      </c>
      <c r="G73" s="7" t="s">
        <v>93</v>
      </c>
      <c r="H73" s="8">
        <v>84</v>
      </c>
      <c r="I73" s="9">
        <f t="shared" si="0"/>
        <v>4.8021952892750969E-4</v>
      </c>
    </row>
    <row r="74" spans="2:9">
      <c r="B74" s="7">
        <v>2025</v>
      </c>
      <c r="C74" s="7" t="s">
        <v>102</v>
      </c>
      <c r="D74" s="7" t="s">
        <v>103</v>
      </c>
      <c r="E74" s="7" t="s">
        <v>10</v>
      </c>
      <c r="F74" s="7" t="s">
        <v>94</v>
      </c>
      <c r="G74" s="7" t="s">
        <v>95</v>
      </c>
      <c r="H74" s="8">
        <v>45</v>
      </c>
      <c r="I74" s="9">
        <f t="shared" si="0"/>
        <v>2.5726046192545165E-4</v>
      </c>
    </row>
    <row r="75" spans="2:9">
      <c r="B75" s="7">
        <v>2025</v>
      </c>
      <c r="C75" s="7" t="s">
        <v>102</v>
      </c>
      <c r="D75" s="7" t="s">
        <v>104</v>
      </c>
      <c r="E75" s="7" t="s">
        <v>9</v>
      </c>
      <c r="F75" s="7" t="s">
        <v>92</v>
      </c>
      <c r="G75" s="7" t="s">
        <v>93</v>
      </c>
      <c r="H75" s="8">
        <v>3832</v>
      </c>
      <c r="I75" s="9">
        <f t="shared" si="0"/>
        <v>2.190715755774068E-2</v>
      </c>
    </row>
    <row r="76" spans="2:9">
      <c r="B76" s="7">
        <v>2025</v>
      </c>
      <c r="C76" s="7" t="s">
        <v>102</v>
      </c>
      <c r="D76" s="7" t="s">
        <v>104</v>
      </c>
      <c r="E76" s="7" t="s">
        <v>9</v>
      </c>
      <c r="F76" s="7" t="s">
        <v>92</v>
      </c>
      <c r="G76" s="7" t="s">
        <v>95</v>
      </c>
      <c r="H76" s="8">
        <v>1979</v>
      </c>
      <c r="I76" s="9">
        <f t="shared" ref="I76:I139" si="1">IFERROR(H76/$B$8,0)</f>
        <v>1.1313743425565972E-2</v>
      </c>
    </row>
    <row r="77" spans="2:9">
      <c r="B77" s="7">
        <v>2025</v>
      </c>
      <c r="C77" s="7" t="s">
        <v>102</v>
      </c>
      <c r="D77" s="7" t="s">
        <v>104</v>
      </c>
      <c r="E77" s="7" t="s">
        <v>9</v>
      </c>
      <c r="F77" s="7" t="s">
        <v>94</v>
      </c>
      <c r="G77" s="7" t="s">
        <v>93</v>
      </c>
      <c r="H77" s="8">
        <v>4624</v>
      </c>
      <c r="I77" s="9">
        <f t="shared" si="1"/>
        <v>2.6434941687628631E-2</v>
      </c>
    </row>
    <row r="78" spans="2:9">
      <c r="B78" s="7">
        <v>2025</v>
      </c>
      <c r="C78" s="7" t="s">
        <v>102</v>
      </c>
      <c r="D78" s="7" t="s">
        <v>104</v>
      </c>
      <c r="E78" s="7" t="s">
        <v>9</v>
      </c>
      <c r="F78" s="7" t="s">
        <v>94</v>
      </c>
      <c r="G78" s="7" t="s">
        <v>95</v>
      </c>
      <c r="H78" s="8">
        <v>2165</v>
      </c>
      <c r="I78" s="9">
        <f t="shared" si="1"/>
        <v>1.2377086668191173E-2</v>
      </c>
    </row>
    <row r="79" spans="2:9">
      <c r="B79" s="7">
        <v>2025</v>
      </c>
      <c r="C79" s="7" t="s">
        <v>102</v>
      </c>
      <c r="D79" s="7" t="s">
        <v>104</v>
      </c>
      <c r="E79" s="7" t="s">
        <v>10</v>
      </c>
      <c r="F79" s="7" t="s">
        <v>92</v>
      </c>
      <c r="G79" s="7" t="s">
        <v>93</v>
      </c>
      <c r="H79" s="8">
        <v>138</v>
      </c>
      <c r="I79" s="9">
        <f t="shared" si="1"/>
        <v>7.8893208323805165E-4</v>
      </c>
    </row>
    <row r="80" spans="2:9">
      <c r="B80" s="7">
        <v>2025</v>
      </c>
      <c r="C80" s="7" t="s">
        <v>102</v>
      </c>
      <c r="D80" s="7" t="s">
        <v>104</v>
      </c>
      <c r="E80" s="7" t="s">
        <v>10</v>
      </c>
      <c r="F80" s="7" t="s">
        <v>92</v>
      </c>
      <c r="G80" s="7" t="s">
        <v>95</v>
      </c>
      <c r="H80" s="8">
        <v>61</v>
      </c>
      <c r="I80" s="9">
        <f t="shared" si="1"/>
        <v>3.4873084838783443E-4</v>
      </c>
    </row>
    <row r="81" spans="2:9">
      <c r="B81" s="7">
        <v>2025</v>
      </c>
      <c r="C81" s="7" t="s">
        <v>102</v>
      </c>
      <c r="D81" s="7" t="s">
        <v>104</v>
      </c>
      <c r="E81" s="7" t="s">
        <v>10</v>
      </c>
      <c r="F81" s="7" t="s">
        <v>94</v>
      </c>
      <c r="G81" s="7" t="s">
        <v>93</v>
      </c>
      <c r="H81" s="8">
        <v>1230</v>
      </c>
      <c r="I81" s="9">
        <f t="shared" si="1"/>
        <v>7.0317859592956781E-3</v>
      </c>
    </row>
    <row r="82" spans="2:9">
      <c r="B82" s="7">
        <v>2025</v>
      </c>
      <c r="C82" s="7" t="s">
        <v>102</v>
      </c>
      <c r="D82" s="7" t="s">
        <v>104</v>
      </c>
      <c r="E82" s="7" t="s">
        <v>10</v>
      </c>
      <c r="F82" s="7" t="s">
        <v>94</v>
      </c>
      <c r="G82" s="7" t="s">
        <v>95</v>
      </c>
      <c r="H82" s="8">
        <v>468</v>
      </c>
      <c r="I82" s="9">
        <f t="shared" si="1"/>
        <v>2.6755088040246971E-3</v>
      </c>
    </row>
    <row r="83" spans="2:9">
      <c r="B83" s="7">
        <v>2025</v>
      </c>
      <c r="C83" s="7" t="s">
        <v>102</v>
      </c>
      <c r="D83" s="7" t="s">
        <v>105</v>
      </c>
      <c r="E83" s="7" t="s">
        <v>9</v>
      </c>
      <c r="F83" s="7" t="s">
        <v>92</v>
      </c>
      <c r="G83" s="7" t="s">
        <v>93</v>
      </c>
      <c r="H83" s="8">
        <v>2671</v>
      </c>
      <c r="I83" s="9">
        <f t="shared" si="1"/>
        <v>1.5269837640064029E-2</v>
      </c>
    </row>
    <row r="84" spans="2:9">
      <c r="B84" s="7">
        <v>2025</v>
      </c>
      <c r="C84" s="7" t="s">
        <v>102</v>
      </c>
      <c r="D84" s="7" t="s">
        <v>105</v>
      </c>
      <c r="E84" s="7" t="s">
        <v>9</v>
      </c>
      <c r="F84" s="7" t="s">
        <v>92</v>
      </c>
      <c r="G84" s="7" t="s">
        <v>95</v>
      </c>
      <c r="H84" s="8">
        <v>1871</v>
      </c>
      <c r="I84" s="9">
        <f t="shared" si="1"/>
        <v>1.0696318316944889E-2</v>
      </c>
    </row>
    <row r="85" spans="2:9">
      <c r="B85" s="7">
        <v>2025</v>
      </c>
      <c r="C85" s="7" t="s">
        <v>102</v>
      </c>
      <c r="D85" s="7" t="s">
        <v>105</v>
      </c>
      <c r="E85" s="7" t="s">
        <v>9</v>
      </c>
      <c r="F85" s="7" t="s">
        <v>94</v>
      </c>
      <c r="G85" s="7" t="s">
        <v>93</v>
      </c>
      <c r="H85" s="8">
        <v>2007</v>
      </c>
      <c r="I85" s="9">
        <f t="shared" si="1"/>
        <v>1.1473816601875143E-2</v>
      </c>
    </row>
    <row r="86" spans="2:9">
      <c r="B86" s="7">
        <v>2025</v>
      </c>
      <c r="C86" s="7" t="s">
        <v>102</v>
      </c>
      <c r="D86" s="7" t="s">
        <v>105</v>
      </c>
      <c r="E86" s="7" t="s">
        <v>9</v>
      </c>
      <c r="F86" s="7" t="s">
        <v>94</v>
      </c>
      <c r="G86" s="7" t="s">
        <v>95</v>
      </c>
      <c r="H86" s="8">
        <v>1018</v>
      </c>
      <c r="I86" s="9">
        <f t="shared" si="1"/>
        <v>5.8198033386691059E-3</v>
      </c>
    </row>
    <row r="87" spans="2:9">
      <c r="B87" s="7">
        <v>2025</v>
      </c>
      <c r="C87" s="7" t="s">
        <v>102</v>
      </c>
      <c r="D87" s="7" t="s">
        <v>105</v>
      </c>
      <c r="E87" s="7" t="s">
        <v>10</v>
      </c>
      <c r="F87" s="7" t="s">
        <v>92</v>
      </c>
      <c r="G87" s="7" t="s">
        <v>93</v>
      </c>
      <c r="H87" s="8">
        <v>42</v>
      </c>
      <c r="I87" s="9">
        <f t="shared" si="1"/>
        <v>2.4010976446375485E-4</v>
      </c>
    </row>
    <row r="88" spans="2:9">
      <c r="B88" s="7">
        <v>2025</v>
      </c>
      <c r="C88" s="7" t="s">
        <v>102</v>
      </c>
      <c r="D88" s="7" t="s">
        <v>105</v>
      </c>
      <c r="E88" s="7" t="s">
        <v>10</v>
      </c>
      <c r="F88" s="7" t="s">
        <v>92</v>
      </c>
      <c r="G88" s="7" t="s">
        <v>95</v>
      </c>
      <c r="H88" s="8">
        <v>41</v>
      </c>
      <c r="I88" s="9">
        <f t="shared" si="1"/>
        <v>2.3439286530985593E-4</v>
      </c>
    </row>
    <row r="89" spans="2:9">
      <c r="B89" s="7">
        <v>2025</v>
      </c>
      <c r="C89" s="7" t="s">
        <v>102</v>
      </c>
      <c r="D89" s="7" t="s">
        <v>105</v>
      </c>
      <c r="E89" s="7" t="s">
        <v>10</v>
      </c>
      <c r="F89" s="7" t="s">
        <v>94</v>
      </c>
      <c r="G89" s="7" t="s">
        <v>93</v>
      </c>
      <c r="H89" s="8">
        <v>518</v>
      </c>
      <c r="I89" s="9">
        <f t="shared" si="1"/>
        <v>2.9613537617196434E-3</v>
      </c>
    </row>
    <row r="90" spans="2:9">
      <c r="B90" s="7">
        <v>2025</v>
      </c>
      <c r="C90" s="7" t="s">
        <v>102</v>
      </c>
      <c r="D90" s="7" t="s">
        <v>105</v>
      </c>
      <c r="E90" s="7" t="s">
        <v>10</v>
      </c>
      <c r="F90" s="7" t="s">
        <v>94</v>
      </c>
      <c r="G90" s="7" t="s">
        <v>95</v>
      </c>
      <c r="H90" s="8">
        <v>245</v>
      </c>
      <c r="I90" s="9">
        <f t="shared" si="1"/>
        <v>1.4006402927052367E-3</v>
      </c>
    </row>
    <row r="91" spans="2:9">
      <c r="B91" s="7">
        <v>2025</v>
      </c>
      <c r="C91" s="7" t="s">
        <v>102</v>
      </c>
      <c r="D91" s="7" t="s">
        <v>106</v>
      </c>
      <c r="E91" s="7" t="s">
        <v>9</v>
      </c>
      <c r="F91" s="7" t="s">
        <v>92</v>
      </c>
      <c r="G91" s="7" t="s">
        <v>93</v>
      </c>
      <c r="H91" s="8">
        <v>1332</v>
      </c>
      <c r="I91" s="9">
        <f t="shared" si="1"/>
        <v>7.6149096729933681E-3</v>
      </c>
    </row>
    <row r="92" spans="2:9">
      <c r="B92" s="7">
        <v>2025</v>
      </c>
      <c r="C92" s="7" t="s">
        <v>102</v>
      </c>
      <c r="D92" s="7" t="s">
        <v>106</v>
      </c>
      <c r="E92" s="7" t="s">
        <v>9</v>
      </c>
      <c r="F92" s="7" t="s">
        <v>92</v>
      </c>
      <c r="G92" s="7" t="s">
        <v>95</v>
      </c>
      <c r="H92" s="8">
        <v>786</v>
      </c>
      <c r="I92" s="9">
        <f t="shared" si="1"/>
        <v>4.4934827349645554E-3</v>
      </c>
    </row>
    <row r="93" spans="2:9">
      <c r="B93" s="7">
        <v>2025</v>
      </c>
      <c r="C93" s="7" t="s">
        <v>102</v>
      </c>
      <c r="D93" s="7" t="s">
        <v>106</v>
      </c>
      <c r="E93" s="7" t="s">
        <v>9</v>
      </c>
      <c r="F93" s="7" t="s">
        <v>94</v>
      </c>
      <c r="G93" s="7" t="s">
        <v>93</v>
      </c>
      <c r="H93" s="8">
        <v>1303</v>
      </c>
      <c r="I93" s="9">
        <f t="shared" si="1"/>
        <v>7.4491195975302993E-3</v>
      </c>
    </row>
    <row r="94" spans="2:9">
      <c r="B94" s="7">
        <v>2025</v>
      </c>
      <c r="C94" s="7" t="s">
        <v>102</v>
      </c>
      <c r="D94" s="7" t="s">
        <v>106</v>
      </c>
      <c r="E94" s="7" t="s">
        <v>9</v>
      </c>
      <c r="F94" s="7" t="s">
        <v>94</v>
      </c>
      <c r="G94" s="7" t="s">
        <v>95</v>
      </c>
      <c r="H94" s="8">
        <v>676</v>
      </c>
      <c r="I94" s="9">
        <f t="shared" si="1"/>
        <v>3.8646238280356736E-3</v>
      </c>
    </row>
    <row r="95" spans="2:9">
      <c r="B95" s="7">
        <v>2025</v>
      </c>
      <c r="C95" s="7" t="s">
        <v>102</v>
      </c>
      <c r="D95" s="7" t="s">
        <v>106</v>
      </c>
      <c r="E95" s="7" t="s">
        <v>10</v>
      </c>
      <c r="F95" s="7" t="s">
        <v>92</v>
      </c>
      <c r="G95" s="7" t="s">
        <v>93</v>
      </c>
      <c r="H95" s="8">
        <v>142</v>
      </c>
      <c r="I95" s="9">
        <f t="shared" si="1"/>
        <v>8.1179967985364743E-4</v>
      </c>
    </row>
    <row r="96" spans="2:9">
      <c r="B96" s="7">
        <v>2025</v>
      </c>
      <c r="C96" s="7" t="s">
        <v>102</v>
      </c>
      <c r="D96" s="7" t="s">
        <v>106</v>
      </c>
      <c r="E96" s="7" t="s">
        <v>10</v>
      </c>
      <c r="F96" s="7" t="s">
        <v>92</v>
      </c>
      <c r="G96" s="7" t="s">
        <v>95</v>
      </c>
      <c r="H96" s="8">
        <v>71</v>
      </c>
      <c r="I96" s="9">
        <f t="shared" si="1"/>
        <v>4.0589983992682371E-4</v>
      </c>
    </row>
    <row r="97" spans="2:9">
      <c r="B97" s="7">
        <v>2025</v>
      </c>
      <c r="C97" s="7" t="s">
        <v>102</v>
      </c>
      <c r="D97" s="7" t="s">
        <v>106</v>
      </c>
      <c r="E97" s="7" t="s">
        <v>10</v>
      </c>
      <c r="F97" s="7" t="s">
        <v>94</v>
      </c>
      <c r="G97" s="7" t="s">
        <v>93</v>
      </c>
      <c r="H97" s="8">
        <v>2019</v>
      </c>
      <c r="I97" s="9">
        <f t="shared" si="1"/>
        <v>1.1542419391721931E-2</v>
      </c>
    </row>
    <row r="98" spans="2:9">
      <c r="B98" s="7">
        <v>2025</v>
      </c>
      <c r="C98" s="7" t="s">
        <v>102</v>
      </c>
      <c r="D98" s="7" t="s">
        <v>106</v>
      </c>
      <c r="E98" s="7" t="s">
        <v>10</v>
      </c>
      <c r="F98" s="7" t="s">
        <v>94</v>
      </c>
      <c r="G98" s="7" t="s">
        <v>95</v>
      </c>
      <c r="H98" s="8">
        <v>958</v>
      </c>
      <c r="I98" s="9">
        <f t="shared" si="1"/>
        <v>5.47678938943517E-3</v>
      </c>
    </row>
    <row r="99" spans="2:9">
      <c r="B99" s="7">
        <v>2025</v>
      </c>
      <c r="C99" s="7" t="s">
        <v>102</v>
      </c>
      <c r="D99" s="7" t="s">
        <v>107</v>
      </c>
      <c r="E99" s="7" t="s">
        <v>9</v>
      </c>
      <c r="F99" s="7" t="s">
        <v>92</v>
      </c>
      <c r="G99" s="7" t="s">
        <v>93</v>
      </c>
      <c r="H99" s="8">
        <v>788</v>
      </c>
      <c r="I99" s="9">
        <f t="shared" si="1"/>
        <v>4.5049165332723528E-3</v>
      </c>
    </row>
    <row r="100" spans="2:9">
      <c r="B100" s="7">
        <v>2025</v>
      </c>
      <c r="C100" s="7" t="s">
        <v>102</v>
      </c>
      <c r="D100" s="7" t="s">
        <v>107</v>
      </c>
      <c r="E100" s="7" t="s">
        <v>9</v>
      </c>
      <c r="F100" s="7" t="s">
        <v>92</v>
      </c>
      <c r="G100" s="7" t="s">
        <v>95</v>
      </c>
      <c r="H100" s="8">
        <v>539</v>
      </c>
      <c r="I100" s="9">
        <f t="shared" si="1"/>
        <v>3.0814086439515209E-3</v>
      </c>
    </row>
    <row r="101" spans="2:9">
      <c r="B101" s="7">
        <v>2025</v>
      </c>
      <c r="C101" s="7" t="s">
        <v>102</v>
      </c>
      <c r="D101" s="7" t="s">
        <v>107</v>
      </c>
      <c r="E101" s="7" t="s">
        <v>9</v>
      </c>
      <c r="F101" s="7" t="s">
        <v>94</v>
      </c>
      <c r="G101" s="7" t="s">
        <v>93</v>
      </c>
      <c r="H101" s="8">
        <v>1141</v>
      </c>
      <c r="I101" s="9">
        <f t="shared" si="1"/>
        <v>6.5229819345986734E-3</v>
      </c>
    </row>
    <row r="102" spans="2:9">
      <c r="B102" s="7">
        <v>2025</v>
      </c>
      <c r="C102" s="7" t="s">
        <v>102</v>
      </c>
      <c r="D102" s="7" t="s">
        <v>107</v>
      </c>
      <c r="E102" s="7" t="s">
        <v>9</v>
      </c>
      <c r="F102" s="7" t="s">
        <v>94</v>
      </c>
      <c r="G102" s="7" t="s">
        <v>95</v>
      </c>
      <c r="H102" s="8">
        <v>643</v>
      </c>
      <c r="I102" s="9">
        <f t="shared" si="1"/>
        <v>3.6759661559570087E-3</v>
      </c>
    </row>
    <row r="103" spans="2:9">
      <c r="B103" s="7">
        <v>2025</v>
      </c>
      <c r="C103" s="7" t="s">
        <v>102</v>
      </c>
      <c r="D103" s="7" t="s">
        <v>107</v>
      </c>
      <c r="E103" s="7" t="s">
        <v>10</v>
      </c>
      <c r="F103" s="7" t="s">
        <v>92</v>
      </c>
      <c r="G103" s="7" t="s">
        <v>93</v>
      </c>
      <c r="H103" s="8">
        <v>27</v>
      </c>
      <c r="I103" s="9">
        <f t="shared" si="1"/>
        <v>1.5435627715527098E-4</v>
      </c>
    </row>
    <row r="104" spans="2:9">
      <c r="B104" s="7">
        <v>2025</v>
      </c>
      <c r="C104" s="7" t="s">
        <v>102</v>
      </c>
      <c r="D104" s="7" t="s">
        <v>107</v>
      </c>
      <c r="E104" s="7" t="s">
        <v>10</v>
      </c>
      <c r="F104" s="7" t="s">
        <v>92</v>
      </c>
      <c r="G104" s="7" t="s">
        <v>95</v>
      </c>
      <c r="H104" s="8">
        <v>17</v>
      </c>
      <c r="I104" s="9">
        <f t="shared" si="1"/>
        <v>9.7187285616281727E-5</v>
      </c>
    </row>
    <row r="105" spans="2:9">
      <c r="B105" s="7">
        <v>2025</v>
      </c>
      <c r="C105" s="7" t="s">
        <v>102</v>
      </c>
      <c r="D105" s="7" t="s">
        <v>107</v>
      </c>
      <c r="E105" s="7" t="s">
        <v>10</v>
      </c>
      <c r="F105" s="7" t="s">
        <v>94</v>
      </c>
      <c r="G105" s="7" t="s">
        <v>93</v>
      </c>
      <c r="H105" s="8">
        <v>429</v>
      </c>
      <c r="I105" s="9">
        <f t="shared" si="1"/>
        <v>2.4525497370226387E-3</v>
      </c>
    </row>
    <row r="106" spans="2:9">
      <c r="B106" s="7">
        <v>2025</v>
      </c>
      <c r="C106" s="7" t="s">
        <v>102</v>
      </c>
      <c r="D106" s="7" t="s">
        <v>107</v>
      </c>
      <c r="E106" s="7" t="s">
        <v>10</v>
      </c>
      <c r="F106" s="7" t="s">
        <v>94</v>
      </c>
      <c r="G106" s="7" t="s">
        <v>95</v>
      </c>
      <c r="H106" s="8">
        <v>175</v>
      </c>
      <c r="I106" s="9">
        <f t="shared" si="1"/>
        <v>1.000457351932312E-3</v>
      </c>
    </row>
    <row r="107" spans="2:9">
      <c r="B107" s="7">
        <v>2025</v>
      </c>
      <c r="C107" s="7" t="s">
        <v>102</v>
      </c>
      <c r="D107" s="7" t="s">
        <v>108</v>
      </c>
      <c r="E107" s="7" t="s">
        <v>9</v>
      </c>
      <c r="F107" s="7" t="s">
        <v>92</v>
      </c>
      <c r="G107" s="7" t="s">
        <v>93</v>
      </c>
      <c r="H107" s="8">
        <v>2284</v>
      </c>
      <c r="I107" s="9">
        <f t="shared" si="1"/>
        <v>1.3057397667505145E-2</v>
      </c>
    </row>
    <row r="108" spans="2:9">
      <c r="B108" s="7">
        <v>2025</v>
      </c>
      <c r="C108" s="7" t="s">
        <v>102</v>
      </c>
      <c r="D108" s="7" t="s">
        <v>108</v>
      </c>
      <c r="E108" s="7" t="s">
        <v>9</v>
      </c>
      <c r="F108" s="7" t="s">
        <v>92</v>
      </c>
      <c r="G108" s="7" t="s">
        <v>95</v>
      </c>
      <c r="H108" s="8">
        <v>1591</v>
      </c>
      <c r="I108" s="9">
        <f t="shared" si="1"/>
        <v>9.09558655385319E-3</v>
      </c>
    </row>
    <row r="109" spans="2:9">
      <c r="B109" s="7">
        <v>2025</v>
      </c>
      <c r="C109" s="7" t="s">
        <v>102</v>
      </c>
      <c r="D109" s="7" t="s">
        <v>108</v>
      </c>
      <c r="E109" s="7" t="s">
        <v>9</v>
      </c>
      <c r="F109" s="7" t="s">
        <v>94</v>
      </c>
      <c r="G109" s="7" t="s">
        <v>93</v>
      </c>
      <c r="H109" s="8">
        <v>3696</v>
      </c>
      <c r="I109" s="9">
        <f t="shared" si="1"/>
        <v>2.1129659272810429E-2</v>
      </c>
    </row>
    <row r="110" spans="2:9">
      <c r="B110" s="7">
        <v>2025</v>
      </c>
      <c r="C110" s="7" t="s">
        <v>102</v>
      </c>
      <c r="D110" s="7" t="s">
        <v>108</v>
      </c>
      <c r="E110" s="7" t="s">
        <v>9</v>
      </c>
      <c r="F110" s="7" t="s">
        <v>94</v>
      </c>
      <c r="G110" s="7" t="s">
        <v>95</v>
      </c>
      <c r="H110" s="8">
        <v>1862</v>
      </c>
      <c r="I110" s="9">
        <f t="shared" si="1"/>
        <v>1.0644866224559799E-2</v>
      </c>
    </row>
    <row r="111" spans="2:9">
      <c r="B111" s="7">
        <v>2025</v>
      </c>
      <c r="C111" s="7" t="s">
        <v>102</v>
      </c>
      <c r="D111" s="7" t="s">
        <v>108</v>
      </c>
      <c r="E111" s="7" t="s">
        <v>10</v>
      </c>
      <c r="F111" s="7" t="s">
        <v>92</v>
      </c>
      <c r="G111" s="7" t="s">
        <v>93</v>
      </c>
      <c r="H111" s="8">
        <v>44</v>
      </c>
      <c r="I111" s="9">
        <f t="shared" si="1"/>
        <v>2.5154356277155273E-4</v>
      </c>
    </row>
    <row r="112" spans="2:9">
      <c r="B112" s="7">
        <v>2025</v>
      </c>
      <c r="C112" s="7" t="s">
        <v>102</v>
      </c>
      <c r="D112" s="7" t="s">
        <v>108</v>
      </c>
      <c r="E112" s="7" t="s">
        <v>10</v>
      </c>
      <c r="F112" s="7" t="s">
        <v>92</v>
      </c>
      <c r="G112" s="7" t="s">
        <v>95</v>
      </c>
      <c r="H112" s="8">
        <v>42</v>
      </c>
      <c r="I112" s="9">
        <f t="shared" si="1"/>
        <v>2.4010976446375485E-4</v>
      </c>
    </row>
    <row r="113" spans="2:9">
      <c r="B113" s="7">
        <v>2025</v>
      </c>
      <c r="C113" s="7" t="s">
        <v>102</v>
      </c>
      <c r="D113" s="7" t="s">
        <v>108</v>
      </c>
      <c r="E113" s="7" t="s">
        <v>10</v>
      </c>
      <c r="F113" s="7" t="s">
        <v>94</v>
      </c>
      <c r="G113" s="7" t="s">
        <v>93</v>
      </c>
      <c r="H113" s="8">
        <v>619</v>
      </c>
      <c r="I113" s="9">
        <f t="shared" si="1"/>
        <v>3.5387605762634347E-3</v>
      </c>
    </row>
    <row r="114" spans="2:9">
      <c r="B114" s="7">
        <v>2025</v>
      </c>
      <c r="C114" s="7" t="s">
        <v>102</v>
      </c>
      <c r="D114" s="7" t="s">
        <v>108</v>
      </c>
      <c r="E114" s="7" t="s">
        <v>10</v>
      </c>
      <c r="F114" s="7" t="s">
        <v>94</v>
      </c>
      <c r="G114" s="7" t="s">
        <v>95</v>
      </c>
      <c r="H114" s="8">
        <v>224</v>
      </c>
      <c r="I114" s="9">
        <f t="shared" si="1"/>
        <v>1.2805854104733592E-3</v>
      </c>
    </row>
    <row r="115" spans="2:9">
      <c r="B115" s="7">
        <v>2025</v>
      </c>
      <c r="C115" s="7" t="s">
        <v>102</v>
      </c>
      <c r="D115" s="7" t="s">
        <v>109</v>
      </c>
      <c r="E115" s="7" t="s">
        <v>9</v>
      </c>
      <c r="F115" s="7" t="s">
        <v>92</v>
      </c>
      <c r="G115" s="7" t="s">
        <v>93</v>
      </c>
      <c r="H115" s="8">
        <v>877</v>
      </c>
      <c r="I115" s="9">
        <f t="shared" si="1"/>
        <v>5.0137205579693575E-3</v>
      </c>
    </row>
    <row r="116" spans="2:9">
      <c r="B116" s="7">
        <v>2025</v>
      </c>
      <c r="C116" s="7" t="s">
        <v>102</v>
      </c>
      <c r="D116" s="7" t="s">
        <v>109</v>
      </c>
      <c r="E116" s="7" t="s">
        <v>9</v>
      </c>
      <c r="F116" s="7" t="s">
        <v>92</v>
      </c>
      <c r="G116" s="7" t="s">
        <v>95</v>
      </c>
      <c r="H116" s="8">
        <v>450</v>
      </c>
      <c r="I116" s="9">
        <f t="shared" si="1"/>
        <v>2.5726046192545162E-3</v>
      </c>
    </row>
    <row r="117" spans="2:9">
      <c r="B117" s="7">
        <v>2025</v>
      </c>
      <c r="C117" s="7" t="s">
        <v>102</v>
      </c>
      <c r="D117" s="7" t="s">
        <v>109</v>
      </c>
      <c r="E117" s="7" t="s">
        <v>9</v>
      </c>
      <c r="F117" s="7" t="s">
        <v>94</v>
      </c>
      <c r="G117" s="7" t="s">
        <v>93</v>
      </c>
      <c r="H117" s="8">
        <v>944</v>
      </c>
      <c r="I117" s="9">
        <f t="shared" si="1"/>
        <v>5.3967528012805856E-3</v>
      </c>
    </row>
    <row r="118" spans="2:9">
      <c r="B118" s="7">
        <v>2025</v>
      </c>
      <c r="C118" s="7" t="s">
        <v>102</v>
      </c>
      <c r="D118" s="7" t="s">
        <v>109</v>
      </c>
      <c r="E118" s="7" t="s">
        <v>9</v>
      </c>
      <c r="F118" s="7" t="s">
        <v>94</v>
      </c>
      <c r="G118" s="7" t="s">
        <v>95</v>
      </c>
      <c r="H118" s="8">
        <v>442</v>
      </c>
      <c r="I118" s="9">
        <f t="shared" si="1"/>
        <v>2.5268694260233249E-3</v>
      </c>
    </row>
    <row r="119" spans="2:9">
      <c r="B119" s="7">
        <v>2025</v>
      </c>
      <c r="C119" s="7" t="s">
        <v>102</v>
      </c>
      <c r="D119" s="7" t="s">
        <v>109</v>
      </c>
      <c r="E119" s="7" t="s">
        <v>10</v>
      </c>
      <c r="F119" s="7" t="s">
        <v>92</v>
      </c>
      <c r="G119" s="7" t="s">
        <v>93</v>
      </c>
      <c r="H119" s="8">
        <v>46</v>
      </c>
      <c r="I119" s="9">
        <f t="shared" si="1"/>
        <v>2.6297736107935057E-4</v>
      </c>
    </row>
    <row r="120" spans="2:9">
      <c r="B120" s="7">
        <v>2025</v>
      </c>
      <c r="C120" s="7" t="s">
        <v>102</v>
      </c>
      <c r="D120" s="7" t="s">
        <v>109</v>
      </c>
      <c r="E120" s="7" t="s">
        <v>10</v>
      </c>
      <c r="F120" s="7" t="s">
        <v>92</v>
      </c>
      <c r="G120" s="7" t="s">
        <v>95</v>
      </c>
      <c r="H120" s="8">
        <v>20</v>
      </c>
      <c r="I120" s="9">
        <f t="shared" si="1"/>
        <v>1.1433798307797851E-4</v>
      </c>
    </row>
    <row r="121" spans="2:9">
      <c r="B121" s="7">
        <v>2025</v>
      </c>
      <c r="C121" s="7" t="s">
        <v>102</v>
      </c>
      <c r="D121" s="7" t="s">
        <v>109</v>
      </c>
      <c r="E121" s="7" t="s">
        <v>10</v>
      </c>
      <c r="F121" s="7" t="s">
        <v>94</v>
      </c>
      <c r="G121" s="7" t="s">
        <v>93</v>
      </c>
      <c r="H121" s="8">
        <v>228</v>
      </c>
      <c r="I121" s="9">
        <f t="shared" si="1"/>
        <v>1.3034530070889548E-3</v>
      </c>
    </row>
    <row r="122" spans="2:9">
      <c r="B122" s="7">
        <v>2025</v>
      </c>
      <c r="C122" s="7" t="s">
        <v>102</v>
      </c>
      <c r="D122" s="7" t="s">
        <v>109</v>
      </c>
      <c r="E122" s="7" t="s">
        <v>10</v>
      </c>
      <c r="F122" s="7" t="s">
        <v>94</v>
      </c>
      <c r="G122" s="7" t="s">
        <v>95</v>
      </c>
      <c r="H122" s="8">
        <v>101</v>
      </c>
      <c r="I122" s="9">
        <f t="shared" si="1"/>
        <v>5.774068145437915E-4</v>
      </c>
    </row>
    <row r="123" spans="2:9">
      <c r="B123" s="7">
        <v>2025</v>
      </c>
      <c r="C123" s="7" t="s">
        <v>102</v>
      </c>
      <c r="D123" s="7" t="s">
        <v>110</v>
      </c>
      <c r="E123" s="7" t="s">
        <v>9</v>
      </c>
      <c r="F123" s="7" t="s">
        <v>92</v>
      </c>
      <c r="G123" s="7" t="s">
        <v>93</v>
      </c>
      <c r="H123" s="8">
        <v>597</v>
      </c>
      <c r="I123" s="9">
        <f t="shared" si="1"/>
        <v>3.4129887948776585E-3</v>
      </c>
    </row>
    <row r="124" spans="2:9">
      <c r="B124" s="7">
        <v>2025</v>
      </c>
      <c r="C124" s="7" t="s">
        <v>102</v>
      </c>
      <c r="D124" s="7" t="s">
        <v>110</v>
      </c>
      <c r="E124" s="7" t="s">
        <v>9</v>
      </c>
      <c r="F124" s="7" t="s">
        <v>92</v>
      </c>
      <c r="G124" s="7" t="s">
        <v>95</v>
      </c>
      <c r="H124" s="8">
        <v>373</v>
      </c>
      <c r="I124" s="9">
        <f t="shared" si="1"/>
        <v>2.1324033844042989E-3</v>
      </c>
    </row>
    <row r="125" spans="2:9">
      <c r="B125" s="7">
        <v>2025</v>
      </c>
      <c r="C125" s="7" t="s">
        <v>102</v>
      </c>
      <c r="D125" s="7" t="s">
        <v>110</v>
      </c>
      <c r="E125" s="7" t="s">
        <v>9</v>
      </c>
      <c r="F125" s="7" t="s">
        <v>94</v>
      </c>
      <c r="G125" s="7" t="s">
        <v>93</v>
      </c>
      <c r="H125" s="8">
        <v>1186</v>
      </c>
      <c r="I125" s="9">
        <f t="shared" si="1"/>
        <v>6.7802423965241257E-3</v>
      </c>
    </row>
    <row r="126" spans="2:9">
      <c r="B126" s="7">
        <v>2025</v>
      </c>
      <c r="C126" s="7" t="s">
        <v>102</v>
      </c>
      <c r="D126" s="7" t="s">
        <v>110</v>
      </c>
      <c r="E126" s="7" t="s">
        <v>9</v>
      </c>
      <c r="F126" s="7" t="s">
        <v>94</v>
      </c>
      <c r="G126" s="7" t="s">
        <v>95</v>
      </c>
      <c r="H126" s="8">
        <v>543</v>
      </c>
      <c r="I126" s="9">
        <f t="shared" si="1"/>
        <v>3.1042762405671166E-3</v>
      </c>
    </row>
    <row r="127" spans="2:9">
      <c r="B127" s="7">
        <v>2025</v>
      </c>
      <c r="C127" s="7" t="s">
        <v>102</v>
      </c>
      <c r="D127" s="7" t="s">
        <v>110</v>
      </c>
      <c r="E127" s="7" t="s">
        <v>10</v>
      </c>
      <c r="F127" s="7" t="s">
        <v>92</v>
      </c>
      <c r="G127" s="7" t="s">
        <v>93</v>
      </c>
      <c r="H127" s="8">
        <v>13</v>
      </c>
      <c r="I127" s="9">
        <f t="shared" si="1"/>
        <v>7.4319689000686032E-5</v>
      </c>
    </row>
    <row r="128" spans="2:9">
      <c r="B128" s="7">
        <v>2025</v>
      </c>
      <c r="C128" s="7" t="s">
        <v>102</v>
      </c>
      <c r="D128" s="7" t="s">
        <v>110</v>
      </c>
      <c r="E128" s="7" t="s">
        <v>10</v>
      </c>
      <c r="F128" s="7" t="s">
        <v>92</v>
      </c>
      <c r="G128" s="7" t="s">
        <v>95</v>
      </c>
      <c r="H128" s="8">
        <v>6</v>
      </c>
      <c r="I128" s="9">
        <f t="shared" si="1"/>
        <v>3.430139492339355E-5</v>
      </c>
    </row>
    <row r="129" spans="2:9">
      <c r="B129" s="7">
        <v>2025</v>
      </c>
      <c r="C129" s="7" t="s">
        <v>102</v>
      </c>
      <c r="D129" s="7" t="s">
        <v>110</v>
      </c>
      <c r="E129" s="7" t="s">
        <v>10</v>
      </c>
      <c r="F129" s="7" t="s">
        <v>94</v>
      </c>
      <c r="G129" s="7" t="s">
        <v>93</v>
      </c>
      <c r="H129" s="8">
        <v>115</v>
      </c>
      <c r="I129" s="9">
        <f t="shared" si="1"/>
        <v>6.5744340269837645E-4</v>
      </c>
    </row>
    <row r="130" spans="2:9">
      <c r="B130" s="7">
        <v>2025</v>
      </c>
      <c r="C130" s="7" t="s">
        <v>102</v>
      </c>
      <c r="D130" s="7" t="s">
        <v>110</v>
      </c>
      <c r="E130" s="7" t="s">
        <v>10</v>
      </c>
      <c r="F130" s="7" t="s">
        <v>94</v>
      </c>
      <c r="G130" s="7" t="s">
        <v>95</v>
      </c>
      <c r="H130" s="8">
        <v>53</v>
      </c>
      <c r="I130" s="9">
        <f t="shared" si="1"/>
        <v>3.0299565515664304E-4</v>
      </c>
    </row>
    <row r="131" spans="2:9">
      <c r="B131" s="7">
        <v>2025</v>
      </c>
      <c r="C131" s="7" t="s">
        <v>102</v>
      </c>
      <c r="D131" s="7" t="s">
        <v>111</v>
      </c>
      <c r="E131" s="7" t="s">
        <v>9</v>
      </c>
      <c r="F131" s="7" t="s">
        <v>92</v>
      </c>
      <c r="G131" s="7" t="s">
        <v>93</v>
      </c>
      <c r="H131" s="8">
        <v>663</v>
      </c>
      <c r="I131" s="9">
        <f t="shared" si="1"/>
        <v>3.7903041390349875E-3</v>
      </c>
    </row>
    <row r="132" spans="2:9">
      <c r="B132" s="7">
        <v>2025</v>
      </c>
      <c r="C132" s="7" t="s">
        <v>102</v>
      </c>
      <c r="D132" s="7" t="s">
        <v>111</v>
      </c>
      <c r="E132" s="7" t="s">
        <v>9</v>
      </c>
      <c r="F132" s="7" t="s">
        <v>92</v>
      </c>
      <c r="G132" s="7" t="s">
        <v>95</v>
      </c>
      <c r="H132" s="8">
        <v>381</v>
      </c>
      <c r="I132" s="9">
        <f t="shared" si="1"/>
        <v>2.1781385776354907E-3</v>
      </c>
    </row>
    <row r="133" spans="2:9">
      <c r="B133" s="7">
        <v>2025</v>
      </c>
      <c r="C133" s="7" t="s">
        <v>102</v>
      </c>
      <c r="D133" s="7" t="s">
        <v>111</v>
      </c>
      <c r="E133" s="7" t="s">
        <v>9</v>
      </c>
      <c r="F133" s="7" t="s">
        <v>94</v>
      </c>
      <c r="G133" s="7" t="s">
        <v>93</v>
      </c>
      <c r="H133" s="8">
        <v>525</v>
      </c>
      <c r="I133" s="9">
        <f t="shared" si="1"/>
        <v>3.0013720557969356E-3</v>
      </c>
    </row>
    <row r="134" spans="2:9">
      <c r="B134" s="7">
        <v>2025</v>
      </c>
      <c r="C134" s="7" t="s">
        <v>102</v>
      </c>
      <c r="D134" s="7" t="s">
        <v>111</v>
      </c>
      <c r="E134" s="7" t="s">
        <v>9</v>
      </c>
      <c r="F134" s="7" t="s">
        <v>94</v>
      </c>
      <c r="G134" s="7" t="s">
        <v>95</v>
      </c>
      <c r="H134" s="8">
        <v>248</v>
      </c>
      <c r="I134" s="9">
        <f t="shared" si="1"/>
        <v>1.4177909901669334E-3</v>
      </c>
    </row>
    <row r="135" spans="2:9">
      <c r="B135" s="7">
        <v>2025</v>
      </c>
      <c r="C135" s="7" t="s">
        <v>102</v>
      </c>
      <c r="D135" s="7" t="s">
        <v>111</v>
      </c>
      <c r="E135" s="7" t="s">
        <v>10</v>
      </c>
      <c r="F135" s="7" t="s">
        <v>92</v>
      </c>
      <c r="G135" s="7" t="s">
        <v>93</v>
      </c>
      <c r="H135" s="8">
        <v>83</v>
      </c>
      <c r="I135" s="9">
        <f t="shared" si="1"/>
        <v>4.7450262977361077E-4</v>
      </c>
    </row>
    <row r="136" spans="2:9">
      <c r="B136" s="7">
        <v>2025</v>
      </c>
      <c r="C136" s="7" t="s">
        <v>102</v>
      </c>
      <c r="D136" s="7" t="s">
        <v>111</v>
      </c>
      <c r="E136" s="7" t="s">
        <v>10</v>
      </c>
      <c r="F136" s="7" t="s">
        <v>92</v>
      </c>
      <c r="G136" s="7" t="s">
        <v>95</v>
      </c>
      <c r="H136" s="8">
        <v>28</v>
      </c>
      <c r="I136" s="9">
        <f t="shared" si="1"/>
        <v>1.600731763091699E-4</v>
      </c>
    </row>
    <row r="137" spans="2:9">
      <c r="B137" s="7">
        <v>2025</v>
      </c>
      <c r="C137" s="7" t="s">
        <v>102</v>
      </c>
      <c r="D137" s="7" t="s">
        <v>111</v>
      </c>
      <c r="E137" s="7" t="s">
        <v>10</v>
      </c>
      <c r="F137" s="7" t="s">
        <v>94</v>
      </c>
      <c r="G137" s="7" t="s">
        <v>93</v>
      </c>
      <c r="H137" s="8">
        <v>246</v>
      </c>
      <c r="I137" s="9">
        <f t="shared" si="1"/>
        <v>1.4063571918591356E-3</v>
      </c>
    </row>
    <row r="138" spans="2:9">
      <c r="B138" s="7">
        <v>2025</v>
      </c>
      <c r="C138" s="7" t="s">
        <v>102</v>
      </c>
      <c r="D138" s="7" t="s">
        <v>111</v>
      </c>
      <c r="E138" s="7" t="s">
        <v>10</v>
      </c>
      <c r="F138" s="7" t="s">
        <v>94</v>
      </c>
      <c r="G138" s="7" t="s">
        <v>95</v>
      </c>
      <c r="H138" s="8">
        <v>107</v>
      </c>
      <c r="I138" s="9">
        <f t="shared" si="1"/>
        <v>6.11708209467185E-4</v>
      </c>
    </row>
    <row r="139" spans="2:9">
      <c r="B139" s="7">
        <v>2025</v>
      </c>
      <c r="C139" s="7" t="s">
        <v>112</v>
      </c>
      <c r="D139" s="7" t="s">
        <v>113</v>
      </c>
      <c r="E139" s="7" t="s">
        <v>9</v>
      </c>
      <c r="F139" s="7" t="s">
        <v>92</v>
      </c>
      <c r="G139" s="7" t="s">
        <v>93</v>
      </c>
      <c r="H139" s="8">
        <v>838</v>
      </c>
      <c r="I139" s="9">
        <f t="shared" si="1"/>
        <v>4.7907614909672991E-3</v>
      </c>
    </row>
    <row r="140" spans="2:9">
      <c r="B140" s="7">
        <v>2025</v>
      </c>
      <c r="C140" s="7" t="s">
        <v>112</v>
      </c>
      <c r="D140" s="7" t="s">
        <v>113</v>
      </c>
      <c r="E140" s="7" t="s">
        <v>9</v>
      </c>
      <c r="F140" s="7" t="s">
        <v>92</v>
      </c>
      <c r="G140" s="7" t="s">
        <v>95</v>
      </c>
      <c r="H140" s="8">
        <v>569</v>
      </c>
      <c r="I140" s="9">
        <f t="shared" ref="I140:I203" si="2">IFERROR(H140/$B$8,0)</f>
        <v>3.2529156185684884E-3</v>
      </c>
    </row>
    <row r="141" spans="2:9">
      <c r="B141" s="7">
        <v>2025</v>
      </c>
      <c r="C141" s="7" t="s">
        <v>112</v>
      </c>
      <c r="D141" s="7" t="s">
        <v>113</v>
      </c>
      <c r="E141" s="7" t="s">
        <v>9</v>
      </c>
      <c r="F141" s="7" t="s">
        <v>94</v>
      </c>
      <c r="G141" s="7" t="s">
        <v>93</v>
      </c>
      <c r="H141" s="8">
        <v>924</v>
      </c>
      <c r="I141" s="9">
        <f t="shared" si="2"/>
        <v>5.2824148182026073E-3</v>
      </c>
    </row>
    <row r="142" spans="2:9">
      <c r="B142" s="7">
        <v>2025</v>
      </c>
      <c r="C142" s="7" t="s">
        <v>112</v>
      </c>
      <c r="D142" s="7" t="s">
        <v>113</v>
      </c>
      <c r="E142" s="7" t="s">
        <v>9</v>
      </c>
      <c r="F142" s="7" t="s">
        <v>94</v>
      </c>
      <c r="G142" s="7" t="s">
        <v>95</v>
      </c>
      <c r="H142" s="8">
        <v>589</v>
      </c>
      <c r="I142" s="9">
        <f t="shared" si="2"/>
        <v>3.3672536016464668E-3</v>
      </c>
    </row>
    <row r="143" spans="2:9">
      <c r="B143" s="7">
        <v>2025</v>
      </c>
      <c r="C143" s="7" t="s">
        <v>112</v>
      </c>
      <c r="D143" s="7" t="s">
        <v>113</v>
      </c>
      <c r="E143" s="7" t="s">
        <v>10</v>
      </c>
      <c r="F143" s="7" t="s">
        <v>92</v>
      </c>
      <c r="G143" s="7" t="s">
        <v>93</v>
      </c>
      <c r="H143" s="8">
        <v>95</v>
      </c>
      <c r="I143" s="9">
        <f t="shared" si="2"/>
        <v>5.4310541962039789E-4</v>
      </c>
    </row>
    <row r="144" spans="2:9">
      <c r="B144" s="7">
        <v>2025</v>
      </c>
      <c r="C144" s="7" t="s">
        <v>112</v>
      </c>
      <c r="D144" s="7" t="s">
        <v>113</v>
      </c>
      <c r="E144" s="7" t="s">
        <v>10</v>
      </c>
      <c r="F144" s="7" t="s">
        <v>92</v>
      </c>
      <c r="G144" s="7" t="s">
        <v>95</v>
      </c>
      <c r="H144" s="8">
        <v>54</v>
      </c>
      <c r="I144" s="9">
        <f t="shared" si="2"/>
        <v>3.0871255431054196E-4</v>
      </c>
    </row>
    <row r="145" spans="2:9">
      <c r="B145" s="7">
        <v>2025</v>
      </c>
      <c r="C145" s="7" t="s">
        <v>112</v>
      </c>
      <c r="D145" s="7" t="s">
        <v>113</v>
      </c>
      <c r="E145" s="7" t="s">
        <v>10</v>
      </c>
      <c r="F145" s="7" t="s">
        <v>94</v>
      </c>
      <c r="G145" s="7" t="s">
        <v>93</v>
      </c>
      <c r="H145" s="8">
        <v>434</v>
      </c>
      <c r="I145" s="9">
        <f t="shared" si="2"/>
        <v>2.4811342327921335E-3</v>
      </c>
    </row>
    <row r="146" spans="2:9">
      <c r="B146" s="7">
        <v>2025</v>
      </c>
      <c r="C146" s="7" t="s">
        <v>112</v>
      </c>
      <c r="D146" s="7" t="s">
        <v>113</v>
      </c>
      <c r="E146" s="7" t="s">
        <v>10</v>
      </c>
      <c r="F146" s="7" t="s">
        <v>94</v>
      </c>
      <c r="G146" s="7" t="s">
        <v>95</v>
      </c>
      <c r="H146" s="8">
        <v>136</v>
      </c>
      <c r="I146" s="9">
        <f t="shared" si="2"/>
        <v>7.7749828493025382E-4</v>
      </c>
    </row>
    <row r="147" spans="2:9">
      <c r="B147" s="7">
        <v>2025</v>
      </c>
      <c r="C147" s="7" t="s">
        <v>112</v>
      </c>
      <c r="D147" s="7" t="s">
        <v>114</v>
      </c>
      <c r="E147" s="7" t="s">
        <v>9</v>
      </c>
      <c r="F147" s="7" t="s">
        <v>92</v>
      </c>
      <c r="G147" s="7" t="s">
        <v>93</v>
      </c>
      <c r="H147" s="8">
        <v>1128</v>
      </c>
      <c r="I147" s="9">
        <f t="shared" si="2"/>
        <v>6.4486622455979872E-3</v>
      </c>
    </row>
    <row r="148" spans="2:9">
      <c r="B148" s="7">
        <v>2025</v>
      </c>
      <c r="C148" s="7" t="s">
        <v>112</v>
      </c>
      <c r="D148" s="7" t="s">
        <v>114</v>
      </c>
      <c r="E148" s="7" t="s">
        <v>9</v>
      </c>
      <c r="F148" s="7" t="s">
        <v>92</v>
      </c>
      <c r="G148" s="7" t="s">
        <v>95</v>
      </c>
      <c r="H148" s="8">
        <v>573</v>
      </c>
      <c r="I148" s="9">
        <f t="shared" si="2"/>
        <v>3.2757832151840841E-3</v>
      </c>
    </row>
    <row r="149" spans="2:9">
      <c r="B149" s="7">
        <v>2025</v>
      </c>
      <c r="C149" s="7" t="s">
        <v>112</v>
      </c>
      <c r="D149" s="7" t="s">
        <v>114</v>
      </c>
      <c r="E149" s="7" t="s">
        <v>9</v>
      </c>
      <c r="F149" s="7" t="s">
        <v>94</v>
      </c>
      <c r="G149" s="7" t="s">
        <v>93</v>
      </c>
      <c r="H149" s="8">
        <v>1969</v>
      </c>
      <c r="I149" s="9">
        <f t="shared" si="2"/>
        <v>1.1256574434026985E-2</v>
      </c>
    </row>
    <row r="150" spans="2:9">
      <c r="B150" s="7">
        <v>2025</v>
      </c>
      <c r="C150" s="7" t="s">
        <v>112</v>
      </c>
      <c r="D150" s="7" t="s">
        <v>114</v>
      </c>
      <c r="E150" s="7" t="s">
        <v>9</v>
      </c>
      <c r="F150" s="7" t="s">
        <v>94</v>
      </c>
      <c r="G150" s="7" t="s">
        <v>95</v>
      </c>
      <c r="H150" s="8">
        <v>905</v>
      </c>
      <c r="I150" s="9">
        <f t="shared" si="2"/>
        <v>5.1737937342785272E-3</v>
      </c>
    </row>
    <row r="151" spans="2:9">
      <c r="B151" s="7">
        <v>2025</v>
      </c>
      <c r="C151" s="7" t="s">
        <v>112</v>
      </c>
      <c r="D151" s="7" t="s">
        <v>114</v>
      </c>
      <c r="E151" s="7" t="s">
        <v>10</v>
      </c>
      <c r="F151" s="7" t="s">
        <v>92</v>
      </c>
      <c r="G151" s="7" t="s">
        <v>93</v>
      </c>
      <c r="H151" s="8">
        <v>88</v>
      </c>
      <c r="I151" s="9">
        <f t="shared" si="2"/>
        <v>5.0308712554310547E-4</v>
      </c>
    </row>
    <row r="152" spans="2:9">
      <c r="B152" s="7">
        <v>2025</v>
      </c>
      <c r="C152" s="7" t="s">
        <v>112</v>
      </c>
      <c r="D152" s="7" t="s">
        <v>114</v>
      </c>
      <c r="E152" s="7" t="s">
        <v>10</v>
      </c>
      <c r="F152" s="7" t="s">
        <v>92</v>
      </c>
      <c r="G152" s="7" t="s">
        <v>95</v>
      </c>
      <c r="H152" s="8">
        <v>59</v>
      </c>
      <c r="I152" s="9">
        <f t="shared" si="2"/>
        <v>3.372970500800366E-4</v>
      </c>
    </row>
    <row r="153" spans="2:9">
      <c r="B153" s="7">
        <v>2025</v>
      </c>
      <c r="C153" s="7" t="s">
        <v>112</v>
      </c>
      <c r="D153" s="7" t="s">
        <v>114</v>
      </c>
      <c r="E153" s="7" t="s">
        <v>10</v>
      </c>
      <c r="F153" s="7" t="s">
        <v>94</v>
      </c>
      <c r="G153" s="7" t="s">
        <v>93</v>
      </c>
      <c r="H153" s="8">
        <v>1336</v>
      </c>
      <c r="I153" s="9">
        <f t="shared" si="2"/>
        <v>7.6377772696089637E-3</v>
      </c>
    </row>
    <row r="154" spans="2:9">
      <c r="B154" s="7">
        <v>2025</v>
      </c>
      <c r="C154" s="7" t="s">
        <v>112</v>
      </c>
      <c r="D154" s="7" t="s">
        <v>114</v>
      </c>
      <c r="E154" s="7" t="s">
        <v>10</v>
      </c>
      <c r="F154" s="7" t="s">
        <v>94</v>
      </c>
      <c r="G154" s="7" t="s">
        <v>95</v>
      </c>
      <c r="H154" s="8">
        <v>503</v>
      </c>
      <c r="I154" s="9">
        <f t="shared" si="2"/>
        <v>2.8756002744111595E-3</v>
      </c>
    </row>
    <row r="155" spans="2:9">
      <c r="B155" s="7">
        <v>2025</v>
      </c>
      <c r="C155" s="7" t="s">
        <v>112</v>
      </c>
      <c r="D155" s="7" t="s">
        <v>115</v>
      </c>
      <c r="E155" s="7" t="s">
        <v>9</v>
      </c>
      <c r="F155" s="7" t="s">
        <v>92</v>
      </c>
      <c r="G155" s="7" t="s">
        <v>93</v>
      </c>
      <c r="H155" s="8">
        <v>379</v>
      </c>
      <c r="I155" s="9">
        <f t="shared" si="2"/>
        <v>2.1667047793276929E-3</v>
      </c>
    </row>
    <row r="156" spans="2:9">
      <c r="B156" s="7">
        <v>2025</v>
      </c>
      <c r="C156" s="7" t="s">
        <v>112</v>
      </c>
      <c r="D156" s="7" t="s">
        <v>115</v>
      </c>
      <c r="E156" s="7" t="s">
        <v>9</v>
      </c>
      <c r="F156" s="7" t="s">
        <v>92</v>
      </c>
      <c r="G156" s="7" t="s">
        <v>95</v>
      </c>
      <c r="H156" s="8">
        <v>194</v>
      </c>
      <c r="I156" s="9">
        <f t="shared" si="2"/>
        <v>1.1090784358563914E-3</v>
      </c>
    </row>
    <row r="157" spans="2:9">
      <c r="B157" s="7">
        <v>2025</v>
      </c>
      <c r="C157" s="7" t="s">
        <v>112</v>
      </c>
      <c r="D157" s="7" t="s">
        <v>115</v>
      </c>
      <c r="E157" s="7" t="s">
        <v>9</v>
      </c>
      <c r="F157" s="7" t="s">
        <v>94</v>
      </c>
      <c r="G157" s="7" t="s">
        <v>93</v>
      </c>
      <c r="H157" s="8">
        <v>229</v>
      </c>
      <c r="I157" s="9">
        <f t="shared" si="2"/>
        <v>1.309169906242854E-3</v>
      </c>
    </row>
    <row r="158" spans="2:9">
      <c r="B158" s="7">
        <v>2025</v>
      </c>
      <c r="C158" s="7" t="s">
        <v>112</v>
      </c>
      <c r="D158" s="7" t="s">
        <v>115</v>
      </c>
      <c r="E158" s="7" t="s">
        <v>9</v>
      </c>
      <c r="F158" s="7" t="s">
        <v>94</v>
      </c>
      <c r="G158" s="7" t="s">
        <v>95</v>
      </c>
      <c r="H158" s="8">
        <v>109</v>
      </c>
      <c r="I158" s="9">
        <f t="shared" si="2"/>
        <v>6.2314200777498284E-4</v>
      </c>
    </row>
    <row r="159" spans="2:9">
      <c r="B159" s="7">
        <v>2025</v>
      </c>
      <c r="C159" s="7" t="s">
        <v>112</v>
      </c>
      <c r="D159" s="7" t="s">
        <v>115</v>
      </c>
      <c r="E159" s="7" t="s">
        <v>10</v>
      </c>
      <c r="F159" s="7" t="s">
        <v>92</v>
      </c>
      <c r="G159" s="7" t="s">
        <v>93</v>
      </c>
      <c r="H159" s="8">
        <v>4</v>
      </c>
      <c r="I159" s="9">
        <f t="shared" si="2"/>
        <v>2.2867596615595703E-5</v>
      </c>
    </row>
    <row r="160" spans="2:9">
      <c r="B160" s="7">
        <v>2025</v>
      </c>
      <c r="C160" s="7" t="s">
        <v>112</v>
      </c>
      <c r="D160" s="7" t="s">
        <v>115</v>
      </c>
      <c r="E160" s="7" t="s">
        <v>10</v>
      </c>
      <c r="F160" s="7" t="s">
        <v>92</v>
      </c>
      <c r="G160" s="7" t="s">
        <v>95</v>
      </c>
      <c r="H160" s="8">
        <v>8</v>
      </c>
      <c r="I160" s="9">
        <f t="shared" si="2"/>
        <v>4.5735193231191405E-5</v>
      </c>
    </row>
    <row r="161" spans="2:9">
      <c r="B161" s="7">
        <v>2025</v>
      </c>
      <c r="C161" s="7" t="s">
        <v>112</v>
      </c>
      <c r="D161" s="7" t="s">
        <v>115</v>
      </c>
      <c r="E161" s="7" t="s">
        <v>10</v>
      </c>
      <c r="F161" s="7" t="s">
        <v>94</v>
      </c>
      <c r="G161" s="7" t="s">
        <v>93</v>
      </c>
      <c r="H161" s="8">
        <v>323</v>
      </c>
      <c r="I161" s="9">
        <f t="shared" si="2"/>
        <v>1.8465584267093528E-3</v>
      </c>
    </row>
    <row r="162" spans="2:9">
      <c r="B162" s="7">
        <v>2025</v>
      </c>
      <c r="C162" s="7" t="s">
        <v>112</v>
      </c>
      <c r="D162" s="7" t="s">
        <v>115</v>
      </c>
      <c r="E162" s="7" t="s">
        <v>10</v>
      </c>
      <c r="F162" s="7" t="s">
        <v>94</v>
      </c>
      <c r="G162" s="7" t="s">
        <v>95</v>
      </c>
      <c r="H162" s="8">
        <v>160</v>
      </c>
      <c r="I162" s="9">
        <f t="shared" si="2"/>
        <v>9.1470386462382805E-4</v>
      </c>
    </row>
    <row r="163" spans="2:9">
      <c r="B163" s="7">
        <v>2025</v>
      </c>
      <c r="C163" s="7" t="s">
        <v>112</v>
      </c>
      <c r="D163" s="7" t="s">
        <v>116</v>
      </c>
      <c r="E163" s="7" t="s">
        <v>9</v>
      </c>
      <c r="F163" s="7" t="s">
        <v>92</v>
      </c>
      <c r="G163" s="7" t="s">
        <v>93</v>
      </c>
      <c r="H163" s="8">
        <v>369</v>
      </c>
      <c r="I163" s="9">
        <f t="shared" si="2"/>
        <v>2.1095357877887033E-3</v>
      </c>
    </row>
    <row r="164" spans="2:9">
      <c r="B164" s="7">
        <v>2025</v>
      </c>
      <c r="C164" s="7" t="s">
        <v>112</v>
      </c>
      <c r="D164" s="7" t="s">
        <v>116</v>
      </c>
      <c r="E164" s="7" t="s">
        <v>9</v>
      </c>
      <c r="F164" s="7" t="s">
        <v>92</v>
      </c>
      <c r="G164" s="7" t="s">
        <v>95</v>
      </c>
      <c r="H164" s="8">
        <v>162</v>
      </c>
      <c r="I164" s="9">
        <f t="shared" si="2"/>
        <v>9.2613766293162588E-4</v>
      </c>
    </row>
    <row r="165" spans="2:9">
      <c r="B165" s="7">
        <v>2025</v>
      </c>
      <c r="C165" s="7" t="s">
        <v>112</v>
      </c>
      <c r="D165" s="7" t="s">
        <v>116</v>
      </c>
      <c r="E165" s="7" t="s">
        <v>9</v>
      </c>
      <c r="F165" s="7" t="s">
        <v>94</v>
      </c>
      <c r="G165" s="7" t="s">
        <v>93</v>
      </c>
      <c r="H165" s="8">
        <v>321</v>
      </c>
      <c r="I165" s="9">
        <f t="shared" si="2"/>
        <v>1.835124628401555E-3</v>
      </c>
    </row>
    <row r="166" spans="2:9">
      <c r="B166" s="7">
        <v>2025</v>
      </c>
      <c r="C166" s="7" t="s">
        <v>112</v>
      </c>
      <c r="D166" s="7" t="s">
        <v>116</v>
      </c>
      <c r="E166" s="7" t="s">
        <v>9</v>
      </c>
      <c r="F166" s="7" t="s">
        <v>94</v>
      </c>
      <c r="G166" s="7" t="s">
        <v>95</v>
      </c>
      <c r="H166" s="8">
        <v>157</v>
      </c>
      <c r="I166" s="9">
        <f t="shared" si="2"/>
        <v>8.975531671621313E-4</v>
      </c>
    </row>
    <row r="167" spans="2:9">
      <c r="B167" s="7">
        <v>2025</v>
      </c>
      <c r="C167" s="7" t="s">
        <v>112</v>
      </c>
      <c r="D167" s="7" t="s">
        <v>116</v>
      </c>
      <c r="E167" s="7" t="s">
        <v>10</v>
      </c>
      <c r="F167" s="7" t="s">
        <v>92</v>
      </c>
      <c r="G167" s="7" t="s">
        <v>93</v>
      </c>
      <c r="H167" s="8">
        <v>8</v>
      </c>
      <c r="I167" s="9">
        <f t="shared" si="2"/>
        <v>4.5735193231191405E-5</v>
      </c>
    </row>
    <row r="168" spans="2:9">
      <c r="B168" s="7">
        <v>2025</v>
      </c>
      <c r="C168" s="7" t="s">
        <v>112</v>
      </c>
      <c r="D168" s="7" t="s">
        <v>116</v>
      </c>
      <c r="E168" s="7" t="s">
        <v>10</v>
      </c>
      <c r="F168" s="7" t="s">
        <v>92</v>
      </c>
      <c r="G168" s="7" t="s">
        <v>95</v>
      </c>
      <c r="H168" s="8">
        <v>5</v>
      </c>
      <c r="I168" s="9">
        <f t="shared" si="2"/>
        <v>2.8584495769494626E-5</v>
      </c>
    </row>
    <row r="169" spans="2:9">
      <c r="B169" s="7">
        <v>2025</v>
      </c>
      <c r="C169" s="7" t="s">
        <v>112</v>
      </c>
      <c r="D169" s="7" t="s">
        <v>116</v>
      </c>
      <c r="E169" s="7" t="s">
        <v>10</v>
      </c>
      <c r="F169" s="7" t="s">
        <v>94</v>
      </c>
      <c r="G169" s="7" t="s">
        <v>93</v>
      </c>
      <c r="H169" s="8">
        <v>642</v>
      </c>
      <c r="I169" s="9">
        <f t="shared" si="2"/>
        <v>3.67024925680311E-3</v>
      </c>
    </row>
    <row r="170" spans="2:9">
      <c r="B170" s="7">
        <v>2025</v>
      </c>
      <c r="C170" s="7" t="s">
        <v>112</v>
      </c>
      <c r="D170" s="7" t="s">
        <v>116</v>
      </c>
      <c r="E170" s="7" t="s">
        <v>10</v>
      </c>
      <c r="F170" s="7" t="s">
        <v>94</v>
      </c>
      <c r="G170" s="7" t="s">
        <v>95</v>
      </c>
      <c r="H170" s="8">
        <v>249</v>
      </c>
      <c r="I170" s="9">
        <f t="shared" si="2"/>
        <v>1.4235078893208323E-3</v>
      </c>
    </row>
    <row r="171" spans="2:9">
      <c r="B171" s="7">
        <v>2025</v>
      </c>
      <c r="C171" s="7" t="s">
        <v>117</v>
      </c>
      <c r="D171" s="7" t="s">
        <v>118</v>
      </c>
      <c r="E171" s="7" t="s">
        <v>9</v>
      </c>
      <c r="F171" s="7" t="s">
        <v>92</v>
      </c>
      <c r="G171" s="7" t="s">
        <v>93</v>
      </c>
      <c r="H171" s="8">
        <v>768</v>
      </c>
      <c r="I171" s="9">
        <f t="shared" si="2"/>
        <v>4.3905785501943745E-3</v>
      </c>
    </row>
    <row r="172" spans="2:9">
      <c r="B172" s="7">
        <v>2025</v>
      </c>
      <c r="C172" s="7" t="s">
        <v>117</v>
      </c>
      <c r="D172" s="7" t="s">
        <v>118</v>
      </c>
      <c r="E172" s="7" t="s">
        <v>9</v>
      </c>
      <c r="F172" s="7" t="s">
        <v>92</v>
      </c>
      <c r="G172" s="7" t="s">
        <v>95</v>
      </c>
      <c r="H172" s="8">
        <v>407</v>
      </c>
      <c r="I172" s="9">
        <f t="shared" si="2"/>
        <v>2.3267779556368625E-3</v>
      </c>
    </row>
    <row r="173" spans="2:9">
      <c r="B173" s="7">
        <v>2025</v>
      </c>
      <c r="C173" s="7" t="s">
        <v>117</v>
      </c>
      <c r="D173" s="7" t="s">
        <v>118</v>
      </c>
      <c r="E173" s="7" t="s">
        <v>9</v>
      </c>
      <c r="F173" s="7" t="s">
        <v>94</v>
      </c>
      <c r="G173" s="7" t="s">
        <v>93</v>
      </c>
      <c r="H173" s="8">
        <v>1095</v>
      </c>
      <c r="I173" s="9">
        <f t="shared" si="2"/>
        <v>6.2600045735193227E-3</v>
      </c>
    </row>
    <row r="174" spans="2:9">
      <c r="B174" s="7">
        <v>2025</v>
      </c>
      <c r="C174" s="7" t="s">
        <v>117</v>
      </c>
      <c r="D174" s="7" t="s">
        <v>118</v>
      </c>
      <c r="E174" s="7" t="s">
        <v>9</v>
      </c>
      <c r="F174" s="7" t="s">
        <v>94</v>
      </c>
      <c r="G174" s="7" t="s">
        <v>95</v>
      </c>
      <c r="H174" s="8">
        <v>477</v>
      </c>
      <c r="I174" s="9">
        <f t="shared" si="2"/>
        <v>2.7269608964097872E-3</v>
      </c>
    </row>
    <row r="175" spans="2:9">
      <c r="B175" s="7">
        <v>2025</v>
      </c>
      <c r="C175" s="7" t="s">
        <v>117</v>
      </c>
      <c r="D175" s="7" t="s">
        <v>118</v>
      </c>
      <c r="E175" s="7" t="s">
        <v>10</v>
      </c>
      <c r="F175" s="7" t="s">
        <v>92</v>
      </c>
      <c r="G175" s="7" t="s">
        <v>93</v>
      </c>
      <c r="H175" s="8">
        <v>107</v>
      </c>
      <c r="I175" s="9">
        <f t="shared" si="2"/>
        <v>6.11708209467185E-4</v>
      </c>
    </row>
    <row r="176" spans="2:9">
      <c r="B176" s="7">
        <v>2025</v>
      </c>
      <c r="C176" s="7" t="s">
        <v>117</v>
      </c>
      <c r="D176" s="7" t="s">
        <v>118</v>
      </c>
      <c r="E176" s="7" t="s">
        <v>10</v>
      </c>
      <c r="F176" s="7" t="s">
        <v>92</v>
      </c>
      <c r="G176" s="7" t="s">
        <v>95</v>
      </c>
      <c r="H176" s="8">
        <v>64</v>
      </c>
      <c r="I176" s="9">
        <f t="shared" si="2"/>
        <v>3.6588154584953124E-4</v>
      </c>
    </row>
    <row r="177" spans="2:9">
      <c r="B177" s="7">
        <v>2025</v>
      </c>
      <c r="C177" s="7" t="s">
        <v>117</v>
      </c>
      <c r="D177" s="7" t="s">
        <v>118</v>
      </c>
      <c r="E177" s="7" t="s">
        <v>10</v>
      </c>
      <c r="F177" s="7" t="s">
        <v>94</v>
      </c>
      <c r="G177" s="7" t="s">
        <v>93</v>
      </c>
      <c r="H177" s="8">
        <v>829</v>
      </c>
      <c r="I177" s="9">
        <f t="shared" si="2"/>
        <v>4.7393093985822086E-3</v>
      </c>
    </row>
    <row r="178" spans="2:9">
      <c r="B178" s="7">
        <v>2025</v>
      </c>
      <c r="C178" s="7" t="s">
        <v>117</v>
      </c>
      <c r="D178" s="7" t="s">
        <v>118</v>
      </c>
      <c r="E178" s="7" t="s">
        <v>10</v>
      </c>
      <c r="F178" s="7" t="s">
        <v>94</v>
      </c>
      <c r="G178" s="7" t="s">
        <v>95</v>
      </c>
      <c r="H178" s="8">
        <v>301</v>
      </c>
      <c r="I178" s="9">
        <f t="shared" si="2"/>
        <v>1.7207866453235765E-3</v>
      </c>
    </row>
    <row r="179" spans="2:9">
      <c r="B179" s="7">
        <v>2025</v>
      </c>
      <c r="C179" s="7" t="s">
        <v>117</v>
      </c>
      <c r="D179" s="7" t="s">
        <v>119</v>
      </c>
      <c r="E179" s="7" t="s">
        <v>9</v>
      </c>
      <c r="F179" s="7" t="s">
        <v>92</v>
      </c>
      <c r="G179" s="7" t="s">
        <v>93</v>
      </c>
      <c r="H179" s="8">
        <v>3426</v>
      </c>
      <c r="I179" s="9">
        <f t="shared" si="2"/>
        <v>1.9586096501257717E-2</v>
      </c>
    </row>
    <row r="180" spans="2:9">
      <c r="B180" s="7">
        <v>2025</v>
      </c>
      <c r="C180" s="7" t="s">
        <v>117</v>
      </c>
      <c r="D180" s="7" t="s">
        <v>119</v>
      </c>
      <c r="E180" s="7" t="s">
        <v>9</v>
      </c>
      <c r="F180" s="7" t="s">
        <v>92</v>
      </c>
      <c r="G180" s="7" t="s">
        <v>95</v>
      </c>
      <c r="H180" s="8">
        <v>1935</v>
      </c>
      <c r="I180" s="9">
        <f t="shared" si="2"/>
        <v>1.1062199862794421E-2</v>
      </c>
    </row>
    <row r="181" spans="2:9">
      <c r="B181" s="7">
        <v>2025</v>
      </c>
      <c r="C181" s="7" t="s">
        <v>117</v>
      </c>
      <c r="D181" s="7" t="s">
        <v>119</v>
      </c>
      <c r="E181" s="7" t="s">
        <v>9</v>
      </c>
      <c r="F181" s="7" t="s">
        <v>94</v>
      </c>
      <c r="G181" s="7" t="s">
        <v>93</v>
      </c>
      <c r="H181" s="8">
        <v>4538</v>
      </c>
      <c r="I181" s="9">
        <f t="shared" si="2"/>
        <v>2.5943288360393321E-2</v>
      </c>
    </row>
    <row r="182" spans="2:9">
      <c r="B182" s="7">
        <v>2025</v>
      </c>
      <c r="C182" s="7" t="s">
        <v>117</v>
      </c>
      <c r="D182" s="7" t="s">
        <v>119</v>
      </c>
      <c r="E182" s="7" t="s">
        <v>9</v>
      </c>
      <c r="F182" s="7" t="s">
        <v>94</v>
      </c>
      <c r="G182" s="7" t="s">
        <v>95</v>
      </c>
      <c r="H182" s="8">
        <v>2144</v>
      </c>
      <c r="I182" s="9">
        <f t="shared" si="2"/>
        <v>1.2257031785959296E-2</v>
      </c>
    </row>
    <row r="183" spans="2:9">
      <c r="B183" s="7">
        <v>2025</v>
      </c>
      <c r="C183" s="7" t="s">
        <v>117</v>
      </c>
      <c r="D183" s="7" t="s">
        <v>119</v>
      </c>
      <c r="E183" s="7" t="s">
        <v>10</v>
      </c>
      <c r="F183" s="7" t="s">
        <v>92</v>
      </c>
      <c r="G183" s="7" t="s">
        <v>93</v>
      </c>
      <c r="H183" s="8">
        <v>165</v>
      </c>
      <c r="I183" s="9">
        <f t="shared" si="2"/>
        <v>9.4328836039332263E-4</v>
      </c>
    </row>
    <row r="184" spans="2:9">
      <c r="B184" s="7">
        <v>2025</v>
      </c>
      <c r="C184" s="7" t="s">
        <v>117</v>
      </c>
      <c r="D184" s="7" t="s">
        <v>119</v>
      </c>
      <c r="E184" s="7" t="s">
        <v>10</v>
      </c>
      <c r="F184" s="7" t="s">
        <v>92</v>
      </c>
      <c r="G184" s="7" t="s">
        <v>95</v>
      </c>
      <c r="H184" s="8">
        <v>112</v>
      </c>
      <c r="I184" s="9">
        <f t="shared" si="2"/>
        <v>6.4029270523667959E-4</v>
      </c>
    </row>
    <row r="185" spans="2:9">
      <c r="B185" s="7">
        <v>2025</v>
      </c>
      <c r="C185" s="7" t="s">
        <v>117</v>
      </c>
      <c r="D185" s="7" t="s">
        <v>119</v>
      </c>
      <c r="E185" s="7" t="s">
        <v>10</v>
      </c>
      <c r="F185" s="7" t="s">
        <v>94</v>
      </c>
      <c r="G185" s="7" t="s">
        <v>93</v>
      </c>
      <c r="H185" s="8">
        <v>1907</v>
      </c>
      <c r="I185" s="9">
        <f t="shared" si="2"/>
        <v>1.090212668648525E-2</v>
      </c>
    </row>
    <row r="186" spans="2:9">
      <c r="B186" s="7">
        <v>2025</v>
      </c>
      <c r="C186" s="7" t="s">
        <v>117</v>
      </c>
      <c r="D186" s="7" t="s">
        <v>119</v>
      </c>
      <c r="E186" s="7" t="s">
        <v>10</v>
      </c>
      <c r="F186" s="7" t="s">
        <v>94</v>
      </c>
      <c r="G186" s="7" t="s">
        <v>95</v>
      </c>
      <c r="H186" s="8">
        <v>795</v>
      </c>
      <c r="I186" s="9">
        <f t="shared" si="2"/>
        <v>4.5449348273496459E-3</v>
      </c>
    </row>
    <row r="187" spans="2:9">
      <c r="B187" s="7">
        <v>2025</v>
      </c>
      <c r="C187" s="7" t="s">
        <v>117</v>
      </c>
      <c r="D187" s="7" t="s">
        <v>120</v>
      </c>
      <c r="E187" s="7" t="s">
        <v>9</v>
      </c>
      <c r="F187" s="7" t="s">
        <v>92</v>
      </c>
      <c r="G187" s="7" t="s">
        <v>93</v>
      </c>
      <c r="H187" s="8">
        <v>4227</v>
      </c>
      <c r="I187" s="9">
        <f t="shared" si="2"/>
        <v>2.4165332723530757E-2</v>
      </c>
    </row>
    <row r="188" spans="2:9">
      <c r="B188" s="7">
        <v>2025</v>
      </c>
      <c r="C188" s="7" t="s">
        <v>117</v>
      </c>
      <c r="D188" s="7" t="s">
        <v>120</v>
      </c>
      <c r="E188" s="7" t="s">
        <v>9</v>
      </c>
      <c r="F188" s="7" t="s">
        <v>92</v>
      </c>
      <c r="G188" s="7" t="s">
        <v>95</v>
      </c>
      <c r="H188" s="8">
        <v>2286</v>
      </c>
      <c r="I188" s="9">
        <f t="shared" si="2"/>
        <v>1.3068831465812943E-2</v>
      </c>
    </row>
    <row r="189" spans="2:9">
      <c r="B189" s="7">
        <v>2025</v>
      </c>
      <c r="C189" s="7" t="s">
        <v>117</v>
      </c>
      <c r="D189" s="7" t="s">
        <v>120</v>
      </c>
      <c r="E189" s="7" t="s">
        <v>9</v>
      </c>
      <c r="F189" s="7" t="s">
        <v>94</v>
      </c>
      <c r="G189" s="7" t="s">
        <v>93</v>
      </c>
      <c r="H189" s="8">
        <v>4844</v>
      </c>
      <c r="I189" s="9">
        <f t="shared" si="2"/>
        <v>2.7692659501486395E-2</v>
      </c>
    </row>
    <row r="190" spans="2:9">
      <c r="B190" s="7">
        <v>2025</v>
      </c>
      <c r="C190" s="7" t="s">
        <v>117</v>
      </c>
      <c r="D190" s="7" t="s">
        <v>120</v>
      </c>
      <c r="E190" s="7" t="s">
        <v>9</v>
      </c>
      <c r="F190" s="7" t="s">
        <v>94</v>
      </c>
      <c r="G190" s="7" t="s">
        <v>95</v>
      </c>
      <c r="H190" s="8">
        <v>2028</v>
      </c>
      <c r="I190" s="9">
        <f t="shared" si="2"/>
        <v>1.159387148410702E-2</v>
      </c>
    </row>
    <row r="191" spans="2:9">
      <c r="B191" s="7">
        <v>2025</v>
      </c>
      <c r="C191" s="7" t="s">
        <v>117</v>
      </c>
      <c r="D191" s="7" t="s">
        <v>120</v>
      </c>
      <c r="E191" s="7" t="s">
        <v>10</v>
      </c>
      <c r="F191" s="7" t="s">
        <v>92</v>
      </c>
      <c r="G191" s="7" t="s">
        <v>93</v>
      </c>
      <c r="H191" s="8">
        <v>120</v>
      </c>
      <c r="I191" s="9">
        <f t="shared" si="2"/>
        <v>6.8602789846787104E-4</v>
      </c>
    </row>
    <row r="192" spans="2:9">
      <c r="B192" s="7">
        <v>2025</v>
      </c>
      <c r="C192" s="7" t="s">
        <v>117</v>
      </c>
      <c r="D192" s="7" t="s">
        <v>120</v>
      </c>
      <c r="E192" s="7" t="s">
        <v>10</v>
      </c>
      <c r="F192" s="7" t="s">
        <v>92</v>
      </c>
      <c r="G192" s="7" t="s">
        <v>95</v>
      </c>
      <c r="H192" s="8">
        <v>56</v>
      </c>
      <c r="I192" s="9">
        <f t="shared" si="2"/>
        <v>3.2014635261833979E-4</v>
      </c>
    </row>
    <row r="193" spans="2:9">
      <c r="B193" s="7">
        <v>2025</v>
      </c>
      <c r="C193" s="7" t="s">
        <v>117</v>
      </c>
      <c r="D193" s="7" t="s">
        <v>120</v>
      </c>
      <c r="E193" s="7" t="s">
        <v>10</v>
      </c>
      <c r="F193" s="7" t="s">
        <v>94</v>
      </c>
      <c r="G193" s="7" t="s">
        <v>93</v>
      </c>
      <c r="H193" s="8">
        <v>1016</v>
      </c>
      <c r="I193" s="9">
        <f t="shared" si="2"/>
        <v>5.8083695403613076E-3</v>
      </c>
    </row>
    <row r="194" spans="2:9">
      <c r="B194" s="7">
        <v>2025</v>
      </c>
      <c r="C194" s="7" t="s">
        <v>117</v>
      </c>
      <c r="D194" s="7" t="s">
        <v>120</v>
      </c>
      <c r="E194" s="7" t="s">
        <v>10</v>
      </c>
      <c r="F194" s="7" t="s">
        <v>94</v>
      </c>
      <c r="G194" s="7" t="s">
        <v>95</v>
      </c>
      <c r="H194" s="8">
        <v>426</v>
      </c>
      <c r="I194" s="9">
        <f t="shared" si="2"/>
        <v>2.4353990395609422E-3</v>
      </c>
    </row>
    <row r="195" spans="2:9">
      <c r="B195" s="7">
        <v>2025</v>
      </c>
      <c r="C195" s="7" t="s">
        <v>117</v>
      </c>
      <c r="D195" s="7" t="s">
        <v>121</v>
      </c>
      <c r="E195" s="7" t="s">
        <v>9</v>
      </c>
      <c r="F195" s="7" t="s">
        <v>92</v>
      </c>
      <c r="G195" s="7" t="s">
        <v>93</v>
      </c>
      <c r="H195" s="8">
        <v>5900</v>
      </c>
      <c r="I195" s="9">
        <f t="shared" si="2"/>
        <v>3.3729705008003659E-2</v>
      </c>
    </row>
    <row r="196" spans="2:9">
      <c r="B196" s="7">
        <v>2025</v>
      </c>
      <c r="C196" s="7" t="s">
        <v>117</v>
      </c>
      <c r="D196" s="7" t="s">
        <v>121</v>
      </c>
      <c r="E196" s="7" t="s">
        <v>9</v>
      </c>
      <c r="F196" s="7" t="s">
        <v>92</v>
      </c>
      <c r="G196" s="7" t="s">
        <v>95</v>
      </c>
      <c r="H196" s="8">
        <v>3165</v>
      </c>
      <c r="I196" s="9">
        <f t="shared" si="2"/>
        <v>1.8093985822090097E-2</v>
      </c>
    </row>
    <row r="197" spans="2:9">
      <c r="B197" s="7">
        <v>2025</v>
      </c>
      <c r="C197" s="7" t="s">
        <v>117</v>
      </c>
      <c r="D197" s="7" t="s">
        <v>121</v>
      </c>
      <c r="E197" s="7" t="s">
        <v>9</v>
      </c>
      <c r="F197" s="7" t="s">
        <v>94</v>
      </c>
      <c r="G197" s="7" t="s">
        <v>93</v>
      </c>
      <c r="H197" s="8">
        <v>13377</v>
      </c>
      <c r="I197" s="9">
        <f t="shared" si="2"/>
        <v>7.647495998170592E-2</v>
      </c>
    </row>
    <row r="198" spans="2:9">
      <c r="B198" s="7">
        <v>2025</v>
      </c>
      <c r="C198" s="7" t="s">
        <v>117</v>
      </c>
      <c r="D198" s="7" t="s">
        <v>121</v>
      </c>
      <c r="E198" s="7" t="s">
        <v>9</v>
      </c>
      <c r="F198" s="7" t="s">
        <v>94</v>
      </c>
      <c r="G198" s="7" t="s">
        <v>95</v>
      </c>
      <c r="H198" s="8">
        <v>6464</v>
      </c>
      <c r="I198" s="9">
        <f t="shared" si="2"/>
        <v>3.6954036130802656E-2</v>
      </c>
    </row>
    <row r="199" spans="2:9">
      <c r="B199" s="7">
        <v>2025</v>
      </c>
      <c r="C199" s="7" t="s">
        <v>117</v>
      </c>
      <c r="D199" s="7" t="s">
        <v>121</v>
      </c>
      <c r="E199" s="7" t="s">
        <v>10</v>
      </c>
      <c r="F199" s="7" t="s">
        <v>92</v>
      </c>
      <c r="G199" s="7" t="s">
        <v>93</v>
      </c>
      <c r="H199" s="8">
        <v>267</v>
      </c>
      <c r="I199" s="9">
        <f t="shared" si="2"/>
        <v>1.5264120740910131E-3</v>
      </c>
    </row>
    <row r="200" spans="2:9">
      <c r="B200" s="7">
        <v>2025</v>
      </c>
      <c r="C200" s="7" t="s">
        <v>117</v>
      </c>
      <c r="D200" s="7" t="s">
        <v>121</v>
      </c>
      <c r="E200" s="7" t="s">
        <v>10</v>
      </c>
      <c r="F200" s="7" t="s">
        <v>92</v>
      </c>
      <c r="G200" s="7" t="s">
        <v>95</v>
      </c>
      <c r="H200" s="8">
        <v>182</v>
      </c>
      <c r="I200" s="9">
        <f t="shared" si="2"/>
        <v>1.0404756460096044E-3</v>
      </c>
    </row>
    <row r="201" spans="2:9">
      <c r="B201" s="7">
        <v>2025</v>
      </c>
      <c r="C201" s="7" t="s">
        <v>117</v>
      </c>
      <c r="D201" s="7" t="s">
        <v>121</v>
      </c>
      <c r="E201" s="7" t="s">
        <v>10</v>
      </c>
      <c r="F201" s="7" t="s">
        <v>94</v>
      </c>
      <c r="G201" s="7" t="s">
        <v>93</v>
      </c>
      <c r="H201" s="8">
        <v>2282</v>
      </c>
      <c r="I201" s="9">
        <f t="shared" si="2"/>
        <v>1.3045963869197347E-2</v>
      </c>
    </row>
    <row r="202" spans="2:9">
      <c r="B202" s="7">
        <v>2025</v>
      </c>
      <c r="C202" s="7" t="s">
        <v>117</v>
      </c>
      <c r="D202" s="7" t="s">
        <v>121</v>
      </c>
      <c r="E202" s="7" t="s">
        <v>10</v>
      </c>
      <c r="F202" s="7" t="s">
        <v>94</v>
      </c>
      <c r="G202" s="7" t="s">
        <v>95</v>
      </c>
      <c r="H202" s="8">
        <v>1065</v>
      </c>
      <c r="I202" s="9">
        <f t="shared" si="2"/>
        <v>6.0884975989023557E-3</v>
      </c>
    </row>
    <row r="203" spans="2:9">
      <c r="B203" s="7">
        <v>2025</v>
      </c>
      <c r="C203" s="7" t="s">
        <v>122</v>
      </c>
      <c r="D203" s="7" t="s">
        <v>123</v>
      </c>
      <c r="E203" s="7" t="s">
        <v>9</v>
      </c>
      <c r="F203" s="7" t="s">
        <v>92</v>
      </c>
      <c r="G203" s="7" t="s">
        <v>93</v>
      </c>
      <c r="H203" s="8">
        <v>1873</v>
      </c>
      <c r="I203" s="9">
        <f t="shared" si="2"/>
        <v>1.0707752115252687E-2</v>
      </c>
    </row>
    <row r="204" spans="2:9">
      <c r="B204" s="7">
        <v>2025</v>
      </c>
      <c r="C204" s="7" t="s">
        <v>122</v>
      </c>
      <c r="D204" s="7" t="s">
        <v>123</v>
      </c>
      <c r="E204" s="7" t="s">
        <v>9</v>
      </c>
      <c r="F204" s="7" t="s">
        <v>92</v>
      </c>
      <c r="G204" s="7" t="s">
        <v>95</v>
      </c>
      <c r="H204" s="8">
        <v>1126</v>
      </c>
      <c r="I204" s="9">
        <f t="shared" ref="I204:I267" si="3">IFERROR(H204/$B$8,0)</f>
        <v>6.4372284472901898E-3</v>
      </c>
    </row>
    <row r="205" spans="2:9">
      <c r="B205" s="7">
        <v>2025</v>
      </c>
      <c r="C205" s="7" t="s">
        <v>122</v>
      </c>
      <c r="D205" s="7" t="s">
        <v>123</v>
      </c>
      <c r="E205" s="7" t="s">
        <v>9</v>
      </c>
      <c r="F205" s="7" t="s">
        <v>94</v>
      </c>
      <c r="G205" s="7" t="s">
        <v>93</v>
      </c>
      <c r="H205" s="8">
        <v>2753</v>
      </c>
      <c r="I205" s="9">
        <f t="shared" si="3"/>
        <v>1.5738623370683741E-2</v>
      </c>
    </row>
    <row r="206" spans="2:9">
      <c r="B206" s="7">
        <v>2025</v>
      </c>
      <c r="C206" s="7" t="s">
        <v>122</v>
      </c>
      <c r="D206" s="7" t="s">
        <v>123</v>
      </c>
      <c r="E206" s="7" t="s">
        <v>9</v>
      </c>
      <c r="F206" s="7" t="s">
        <v>94</v>
      </c>
      <c r="G206" s="7" t="s">
        <v>95</v>
      </c>
      <c r="H206" s="8">
        <v>1465</v>
      </c>
      <c r="I206" s="9">
        <f t="shared" si="3"/>
        <v>8.3752572604619251E-3</v>
      </c>
    </row>
    <row r="207" spans="2:9">
      <c r="B207" s="7">
        <v>2025</v>
      </c>
      <c r="C207" s="7" t="s">
        <v>122</v>
      </c>
      <c r="D207" s="7" t="s">
        <v>123</v>
      </c>
      <c r="E207" s="7" t="s">
        <v>10</v>
      </c>
      <c r="F207" s="7" t="s">
        <v>92</v>
      </c>
      <c r="G207" s="7" t="s">
        <v>93</v>
      </c>
      <c r="H207" s="8">
        <v>137</v>
      </c>
      <c r="I207" s="9">
        <f t="shared" si="3"/>
        <v>7.8321518408415274E-4</v>
      </c>
    </row>
    <row r="208" spans="2:9">
      <c r="B208" s="7">
        <v>2025</v>
      </c>
      <c r="C208" s="7" t="s">
        <v>122</v>
      </c>
      <c r="D208" s="7" t="s">
        <v>123</v>
      </c>
      <c r="E208" s="7" t="s">
        <v>10</v>
      </c>
      <c r="F208" s="7" t="s">
        <v>92</v>
      </c>
      <c r="G208" s="7" t="s">
        <v>95</v>
      </c>
      <c r="H208" s="8">
        <v>102</v>
      </c>
      <c r="I208" s="9">
        <f t="shared" si="3"/>
        <v>5.8312371369769042E-4</v>
      </c>
    </row>
    <row r="209" spans="2:9">
      <c r="B209" s="7">
        <v>2025</v>
      </c>
      <c r="C209" s="7" t="s">
        <v>122</v>
      </c>
      <c r="D209" s="7" t="s">
        <v>123</v>
      </c>
      <c r="E209" s="7" t="s">
        <v>10</v>
      </c>
      <c r="F209" s="7" t="s">
        <v>94</v>
      </c>
      <c r="G209" s="7" t="s">
        <v>93</v>
      </c>
      <c r="H209" s="8">
        <v>1185</v>
      </c>
      <c r="I209" s="9">
        <f t="shared" si="3"/>
        <v>6.7745254973702266E-3</v>
      </c>
    </row>
    <row r="210" spans="2:9">
      <c r="B210" s="7">
        <v>2025</v>
      </c>
      <c r="C210" s="7" t="s">
        <v>122</v>
      </c>
      <c r="D210" s="7" t="s">
        <v>123</v>
      </c>
      <c r="E210" s="7" t="s">
        <v>10</v>
      </c>
      <c r="F210" s="7" t="s">
        <v>94</v>
      </c>
      <c r="G210" s="7" t="s">
        <v>95</v>
      </c>
      <c r="H210" s="8">
        <v>651</v>
      </c>
      <c r="I210" s="9">
        <f t="shared" si="3"/>
        <v>3.7217013491882005E-3</v>
      </c>
    </row>
    <row r="211" spans="2:9">
      <c r="B211" s="7">
        <v>2025</v>
      </c>
      <c r="C211" s="7" t="s">
        <v>122</v>
      </c>
      <c r="D211" s="7" t="s">
        <v>124</v>
      </c>
      <c r="E211" s="7" t="s">
        <v>9</v>
      </c>
      <c r="F211" s="7" t="s">
        <v>92</v>
      </c>
      <c r="G211" s="7" t="s">
        <v>93</v>
      </c>
      <c r="H211" s="8">
        <v>2579</v>
      </c>
      <c r="I211" s="9">
        <f t="shared" si="3"/>
        <v>1.4743882917905328E-2</v>
      </c>
    </row>
    <row r="212" spans="2:9">
      <c r="B212" s="7">
        <v>2025</v>
      </c>
      <c r="C212" s="7" t="s">
        <v>122</v>
      </c>
      <c r="D212" s="7" t="s">
        <v>124</v>
      </c>
      <c r="E212" s="7" t="s">
        <v>9</v>
      </c>
      <c r="F212" s="7" t="s">
        <v>92</v>
      </c>
      <c r="G212" s="7" t="s">
        <v>95</v>
      </c>
      <c r="H212" s="8">
        <v>1461</v>
      </c>
      <c r="I212" s="9">
        <f t="shared" si="3"/>
        <v>8.3523896638463303E-3</v>
      </c>
    </row>
    <row r="213" spans="2:9">
      <c r="B213" s="7">
        <v>2025</v>
      </c>
      <c r="C213" s="7" t="s">
        <v>122</v>
      </c>
      <c r="D213" s="7" t="s">
        <v>124</v>
      </c>
      <c r="E213" s="7" t="s">
        <v>9</v>
      </c>
      <c r="F213" s="7" t="s">
        <v>94</v>
      </c>
      <c r="G213" s="7" t="s">
        <v>93</v>
      </c>
      <c r="H213" s="8">
        <v>2525</v>
      </c>
      <c r="I213" s="9">
        <f t="shared" si="3"/>
        <v>1.4435170363594787E-2</v>
      </c>
    </row>
    <row r="214" spans="2:9">
      <c r="B214" s="7">
        <v>2025</v>
      </c>
      <c r="C214" s="7" t="s">
        <v>122</v>
      </c>
      <c r="D214" s="7" t="s">
        <v>124</v>
      </c>
      <c r="E214" s="7" t="s">
        <v>9</v>
      </c>
      <c r="F214" s="7" t="s">
        <v>94</v>
      </c>
      <c r="G214" s="7" t="s">
        <v>95</v>
      </c>
      <c r="H214" s="8">
        <v>1253</v>
      </c>
      <c r="I214" s="9">
        <f t="shared" si="3"/>
        <v>7.163274639835353E-3</v>
      </c>
    </row>
    <row r="215" spans="2:9">
      <c r="B215" s="7">
        <v>2025</v>
      </c>
      <c r="C215" s="7" t="s">
        <v>122</v>
      </c>
      <c r="D215" s="7" t="s">
        <v>124</v>
      </c>
      <c r="E215" s="7" t="s">
        <v>10</v>
      </c>
      <c r="F215" s="7" t="s">
        <v>92</v>
      </c>
      <c r="G215" s="7" t="s">
        <v>93</v>
      </c>
      <c r="H215" s="8">
        <v>92</v>
      </c>
      <c r="I215" s="9">
        <f t="shared" si="3"/>
        <v>5.2595472215870114E-4</v>
      </c>
    </row>
    <row r="216" spans="2:9">
      <c r="B216" s="7">
        <v>2025</v>
      </c>
      <c r="C216" s="7" t="s">
        <v>122</v>
      </c>
      <c r="D216" s="7" t="s">
        <v>124</v>
      </c>
      <c r="E216" s="7" t="s">
        <v>10</v>
      </c>
      <c r="F216" s="7" t="s">
        <v>92</v>
      </c>
      <c r="G216" s="7" t="s">
        <v>95</v>
      </c>
      <c r="H216" s="8">
        <v>92</v>
      </c>
      <c r="I216" s="9">
        <f t="shared" si="3"/>
        <v>5.2595472215870114E-4</v>
      </c>
    </row>
    <row r="217" spans="2:9">
      <c r="B217" s="7">
        <v>2025</v>
      </c>
      <c r="C217" s="7" t="s">
        <v>122</v>
      </c>
      <c r="D217" s="7" t="s">
        <v>124</v>
      </c>
      <c r="E217" s="7" t="s">
        <v>10</v>
      </c>
      <c r="F217" s="7" t="s">
        <v>94</v>
      </c>
      <c r="G217" s="7" t="s">
        <v>93</v>
      </c>
      <c r="H217" s="8">
        <v>389</v>
      </c>
      <c r="I217" s="9">
        <f t="shared" si="3"/>
        <v>2.223873770866682E-3</v>
      </c>
    </row>
    <row r="218" spans="2:9">
      <c r="B218" s="7">
        <v>2025</v>
      </c>
      <c r="C218" s="7" t="s">
        <v>122</v>
      </c>
      <c r="D218" s="7" t="s">
        <v>124</v>
      </c>
      <c r="E218" s="7" t="s">
        <v>10</v>
      </c>
      <c r="F218" s="7" t="s">
        <v>94</v>
      </c>
      <c r="G218" s="7" t="s">
        <v>95</v>
      </c>
      <c r="H218" s="8">
        <v>190</v>
      </c>
      <c r="I218" s="9">
        <f t="shared" si="3"/>
        <v>1.0862108392407958E-3</v>
      </c>
    </row>
    <row r="219" spans="2:9">
      <c r="B219" s="7">
        <v>2025</v>
      </c>
      <c r="C219" s="7" t="s">
        <v>122</v>
      </c>
      <c r="D219" s="7" t="s">
        <v>125</v>
      </c>
      <c r="E219" s="7" t="s">
        <v>9</v>
      </c>
      <c r="F219" s="7" t="s">
        <v>92</v>
      </c>
      <c r="G219" s="7" t="s">
        <v>93</v>
      </c>
      <c r="H219" s="8">
        <v>803</v>
      </c>
      <c r="I219" s="9">
        <f t="shared" si="3"/>
        <v>4.5906700205808372E-3</v>
      </c>
    </row>
    <row r="220" spans="2:9">
      <c r="B220" s="7">
        <v>2025</v>
      </c>
      <c r="C220" s="7" t="s">
        <v>122</v>
      </c>
      <c r="D220" s="7" t="s">
        <v>125</v>
      </c>
      <c r="E220" s="7" t="s">
        <v>9</v>
      </c>
      <c r="F220" s="7" t="s">
        <v>92</v>
      </c>
      <c r="G220" s="7" t="s">
        <v>95</v>
      </c>
      <c r="H220" s="8">
        <v>359</v>
      </c>
      <c r="I220" s="9">
        <f t="shared" si="3"/>
        <v>2.0523667962497141E-3</v>
      </c>
    </row>
    <row r="221" spans="2:9">
      <c r="B221" s="7">
        <v>2025</v>
      </c>
      <c r="C221" s="7" t="s">
        <v>122</v>
      </c>
      <c r="D221" s="7" t="s">
        <v>125</v>
      </c>
      <c r="E221" s="7" t="s">
        <v>9</v>
      </c>
      <c r="F221" s="7" t="s">
        <v>94</v>
      </c>
      <c r="G221" s="7" t="s">
        <v>93</v>
      </c>
      <c r="H221" s="8">
        <v>1979</v>
      </c>
      <c r="I221" s="9">
        <f t="shared" si="3"/>
        <v>1.1313743425565972E-2</v>
      </c>
    </row>
    <row r="222" spans="2:9">
      <c r="B222" s="7">
        <v>2025</v>
      </c>
      <c r="C222" s="7" t="s">
        <v>122</v>
      </c>
      <c r="D222" s="7" t="s">
        <v>125</v>
      </c>
      <c r="E222" s="7" t="s">
        <v>9</v>
      </c>
      <c r="F222" s="7" t="s">
        <v>94</v>
      </c>
      <c r="G222" s="7" t="s">
        <v>95</v>
      </c>
      <c r="H222" s="8">
        <v>925</v>
      </c>
      <c r="I222" s="9">
        <f t="shared" si="3"/>
        <v>5.2881317173565055E-3</v>
      </c>
    </row>
    <row r="223" spans="2:9">
      <c r="B223" s="7">
        <v>2025</v>
      </c>
      <c r="C223" s="7" t="s">
        <v>122</v>
      </c>
      <c r="D223" s="7" t="s">
        <v>125</v>
      </c>
      <c r="E223" s="7" t="s">
        <v>10</v>
      </c>
      <c r="F223" s="7" t="s">
        <v>92</v>
      </c>
      <c r="G223" s="7" t="s">
        <v>93</v>
      </c>
      <c r="H223" s="8">
        <v>44</v>
      </c>
      <c r="I223" s="9">
        <f t="shared" si="3"/>
        <v>2.5154356277155273E-4</v>
      </c>
    </row>
    <row r="224" spans="2:9">
      <c r="B224" s="7">
        <v>2025</v>
      </c>
      <c r="C224" s="7" t="s">
        <v>122</v>
      </c>
      <c r="D224" s="7" t="s">
        <v>125</v>
      </c>
      <c r="E224" s="7" t="s">
        <v>10</v>
      </c>
      <c r="F224" s="7" t="s">
        <v>92</v>
      </c>
      <c r="G224" s="7" t="s">
        <v>95</v>
      </c>
      <c r="H224" s="8">
        <v>31</v>
      </c>
      <c r="I224" s="9">
        <f t="shared" si="3"/>
        <v>1.7722387377086668E-4</v>
      </c>
    </row>
    <row r="225" spans="2:9">
      <c r="B225" s="7">
        <v>2025</v>
      </c>
      <c r="C225" s="7" t="s">
        <v>122</v>
      </c>
      <c r="D225" s="7" t="s">
        <v>125</v>
      </c>
      <c r="E225" s="7" t="s">
        <v>10</v>
      </c>
      <c r="F225" s="7" t="s">
        <v>94</v>
      </c>
      <c r="G225" s="7" t="s">
        <v>93</v>
      </c>
      <c r="H225" s="8">
        <v>190</v>
      </c>
      <c r="I225" s="9">
        <f t="shared" si="3"/>
        <v>1.0862108392407958E-3</v>
      </c>
    </row>
    <row r="226" spans="2:9">
      <c r="B226" s="7">
        <v>2025</v>
      </c>
      <c r="C226" s="7" t="s">
        <v>122</v>
      </c>
      <c r="D226" s="7" t="s">
        <v>125</v>
      </c>
      <c r="E226" s="7" t="s">
        <v>10</v>
      </c>
      <c r="F226" s="7" t="s">
        <v>94</v>
      </c>
      <c r="G226" s="7" t="s">
        <v>95</v>
      </c>
      <c r="H226" s="8">
        <v>78</v>
      </c>
      <c r="I226" s="9">
        <f t="shared" si="3"/>
        <v>4.4591813400411619E-4</v>
      </c>
    </row>
    <row r="228" spans="2:9">
      <c r="B228" s="47" t="s">
        <v>132</v>
      </c>
      <c r="C228" s="47"/>
      <c r="D228" s="47"/>
      <c r="E228" s="47"/>
      <c r="F228" s="47"/>
      <c r="G228" s="47"/>
      <c r="H228" s="47"/>
      <c r="I228" s="47"/>
    </row>
  </sheetData>
  <mergeCells count="7">
    <mergeCell ref="B228:I228"/>
    <mergeCell ref="B1:I2"/>
    <mergeCell ref="B3:I3"/>
    <mergeCell ref="B5:I5"/>
    <mergeCell ref="B7:C7"/>
    <mergeCell ref="E7:F7"/>
    <mergeCell ref="H7:I7"/>
  </mergeCells>
  <hyperlinks>
    <hyperlink ref="A4" location="'Dashboard'!B11" display="← DASHBOARD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1"/>
  <sheetViews>
    <sheetView workbookViewId="0">
      <pane ySplit="7" topLeftCell="A8" activePane="bottomLeft" state="frozen"/>
      <selection pane="bottomLeft" activeCell="B7" sqref="B7"/>
    </sheetView>
  </sheetViews>
  <sheetFormatPr baseColWidth="10" defaultColWidth="8.83203125" defaultRowHeight="14"/>
  <cols>
    <col min="1" max="1" width="4" customWidth="1"/>
    <col min="2" max="2" width="11" customWidth="1"/>
    <col min="3" max="3" width="21" customWidth="1"/>
    <col min="4" max="4" width="10" customWidth="1"/>
    <col min="5" max="5" width="18" customWidth="1"/>
    <col min="6" max="8" width="16" customWidth="1"/>
    <col min="9" max="9" width="5" customWidth="1"/>
  </cols>
  <sheetData>
    <row r="1" spans="1:9">
      <c r="A1" s="1"/>
      <c r="B1" s="46" t="s">
        <v>133</v>
      </c>
      <c r="C1" s="46"/>
      <c r="D1" s="46"/>
      <c r="E1" s="46"/>
      <c r="F1" s="46"/>
      <c r="G1" s="46"/>
      <c r="H1" s="46"/>
      <c r="I1" s="46"/>
    </row>
    <row r="2" spans="1:9">
      <c r="A2" s="1"/>
      <c r="B2" s="46"/>
      <c r="C2" s="46"/>
      <c r="D2" s="46"/>
      <c r="E2" s="46"/>
      <c r="F2" s="46"/>
      <c r="G2" s="46"/>
      <c r="H2" s="46"/>
      <c r="I2" s="46"/>
    </row>
    <row r="3" spans="1:9">
      <c r="B3" s="47" t="s">
        <v>56</v>
      </c>
      <c r="C3" s="47"/>
      <c r="D3" s="47"/>
      <c r="E3" s="47"/>
      <c r="F3" s="47"/>
      <c r="G3" s="47"/>
      <c r="H3" s="47"/>
      <c r="I3" s="47"/>
    </row>
    <row r="4" spans="1:9">
      <c r="A4" s="2" t="s">
        <v>57</v>
      </c>
      <c r="B4" s="2"/>
      <c r="C4" s="2"/>
    </row>
    <row r="5" spans="1:9">
      <c r="B5" s="47" t="s">
        <v>134</v>
      </c>
      <c r="C5" s="47"/>
      <c r="D5" s="47"/>
      <c r="E5" s="47"/>
      <c r="F5" s="47"/>
      <c r="G5" s="47"/>
      <c r="H5" s="47"/>
      <c r="I5" s="47"/>
    </row>
    <row r="7" spans="1:9" ht="29" customHeight="1">
      <c r="B7" s="5" t="s">
        <v>8</v>
      </c>
      <c r="C7" s="5" t="s">
        <v>83</v>
      </c>
      <c r="D7" s="5" t="s">
        <v>84</v>
      </c>
      <c r="E7" s="5" t="s">
        <v>85</v>
      </c>
      <c r="F7" s="5" t="s">
        <v>86</v>
      </c>
      <c r="G7" s="5" t="s">
        <v>87</v>
      </c>
      <c r="H7" s="5" t="s">
        <v>88</v>
      </c>
    </row>
    <row r="8" spans="1:9">
      <c r="B8" s="7">
        <v>2005</v>
      </c>
      <c r="C8" s="7" t="s">
        <v>90</v>
      </c>
      <c r="D8" s="7" t="s">
        <v>91</v>
      </c>
      <c r="E8" s="7" t="s">
        <v>9</v>
      </c>
      <c r="F8" s="7" t="s">
        <v>92</v>
      </c>
      <c r="G8" s="7" t="s">
        <v>93</v>
      </c>
      <c r="H8" s="8">
        <v>2</v>
      </c>
    </row>
    <row r="9" spans="1:9">
      <c r="B9" s="7">
        <v>2005</v>
      </c>
      <c r="C9" s="7" t="s">
        <v>90</v>
      </c>
      <c r="D9" s="7" t="s">
        <v>91</v>
      </c>
      <c r="E9" s="7" t="s">
        <v>9</v>
      </c>
      <c r="F9" s="7" t="s">
        <v>94</v>
      </c>
      <c r="G9" s="7" t="s">
        <v>93</v>
      </c>
      <c r="H9" s="8">
        <v>45</v>
      </c>
    </row>
    <row r="10" spans="1:9">
      <c r="B10" s="7">
        <v>2005</v>
      </c>
      <c r="C10" s="7" t="s">
        <v>90</v>
      </c>
      <c r="D10" s="7" t="s">
        <v>91</v>
      </c>
      <c r="E10" s="7" t="s">
        <v>9</v>
      </c>
      <c r="F10" s="7" t="s">
        <v>94</v>
      </c>
      <c r="G10" s="7" t="s">
        <v>95</v>
      </c>
      <c r="H10" s="8">
        <v>16</v>
      </c>
    </row>
    <row r="11" spans="1:9">
      <c r="B11" s="7">
        <v>2005</v>
      </c>
      <c r="C11" s="7" t="s">
        <v>90</v>
      </c>
      <c r="D11" s="7" t="s">
        <v>91</v>
      </c>
      <c r="E11" s="7" t="s">
        <v>10</v>
      </c>
      <c r="F11" s="7" t="s">
        <v>94</v>
      </c>
      <c r="G11" s="7" t="s">
        <v>93</v>
      </c>
      <c r="H11" s="8">
        <v>33</v>
      </c>
    </row>
    <row r="12" spans="1:9">
      <c r="B12" s="7">
        <v>2005</v>
      </c>
      <c r="C12" s="7" t="s">
        <v>90</v>
      </c>
      <c r="D12" s="7" t="s">
        <v>91</v>
      </c>
      <c r="E12" s="7" t="s">
        <v>10</v>
      </c>
      <c r="F12" s="7" t="s">
        <v>94</v>
      </c>
      <c r="G12" s="7" t="s">
        <v>95</v>
      </c>
      <c r="H12" s="8">
        <v>27</v>
      </c>
    </row>
    <row r="13" spans="1:9">
      <c r="B13" s="7">
        <v>2005</v>
      </c>
      <c r="C13" s="7" t="s">
        <v>90</v>
      </c>
      <c r="D13" s="7" t="s">
        <v>96</v>
      </c>
      <c r="E13" s="7" t="s">
        <v>9</v>
      </c>
      <c r="F13" s="7" t="s">
        <v>92</v>
      </c>
      <c r="G13" s="7" t="s">
        <v>93</v>
      </c>
      <c r="H13" s="8">
        <v>1</v>
      </c>
    </row>
    <row r="14" spans="1:9">
      <c r="B14" s="7">
        <v>2005</v>
      </c>
      <c r="C14" s="7" t="s">
        <v>90</v>
      </c>
      <c r="D14" s="7" t="s">
        <v>96</v>
      </c>
      <c r="E14" s="7" t="s">
        <v>9</v>
      </c>
      <c r="F14" s="7" t="s">
        <v>94</v>
      </c>
      <c r="G14" s="7" t="s">
        <v>93</v>
      </c>
      <c r="H14" s="8">
        <v>311</v>
      </c>
    </row>
    <row r="15" spans="1:9">
      <c r="B15" s="7">
        <v>2005</v>
      </c>
      <c r="C15" s="7" t="s">
        <v>90</v>
      </c>
      <c r="D15" s="7" t="s">
        <v>96</v>
      </c>
      <c r="E15" s="7" t="s">
        <v>9</v>
      </c>
      <c r="F15" s="7" t="s">
        <v>94</v>
      </c>
      <c r="G15" s="7" t="s">
        <v>95</v>
      </c>
      <c r="H15" s="8">
        <v>175</v>
      </c>
    </row>
    <row r="16" spans="1:9">
      <c r="B16" s="7">
        <v>2005</v>
      </c>
      <c r="C16" s="7" t="s">
        <v>90</v>
      </c>
      <c r="D16" s="7" t="s">
        <v>96</v>
      </c>
      <c r="E16" s="7" t="s">
        <v>10</v>
      </c>
      <c r="F16" s="7" t="s">
        <v>94</v>
      </c>
      <c r="G16" s="7" t="s">
        <v>93</v>
      </c>
      <c r="H16" s="8">
        <v>216</v>
      </c>
    </row>
    <row r="17" spans="2:8">
      <c r="B17" s="7">
        <v>2005</v>
      </c>
      <c r="C17" s="7" t="s">
        <v>90</v>
      </c>
      <c r="D17" s="7" t="s">
        <v>96</v>
      </c>
      <c r="E17" s="7" t="s">
        <v>10</v>
      </c>
      <c r="F17" s="7" t="s">
        <v>94</v>
      </c>
      <c r="G17" s="7" t="s">
        <v>95</v>
      </c>
      <c r="H17" s="8">
        <v>109</v>
      </c>
    </row>
    <row r="18" spans="2:8">
      <c r="B18" s="7">
        <v>2005</v>
      </c>
      <c r="C18" s="7" t="s">
        <v>90</v>
      </c>
      <c r="D18" s="7" t="s">
        <v>97</v>
      </c>
      <c r="E18" s="7" t="s">
        <v>9</v>
      </c>
      <c r="F18" s="7" t="s">
        <v>94</v>
      </c>
      <c r="G18" s="7" t="s">
        <v>93</v>
      </c>
      <c r="H18" s="8">
        <v>117</v>
      </c>
    </row>
    <row r="19" spans="2:8">
      <c r="B19" s="7">
        <v>2005</v>
      </c>
      <c r="C19" s="7" t="s">
        <v>90</v>
      </c>
      <c r="D19" s="7" t="s">
        <v>97</v>
      </c>
      <c r="E19" s="7" t="s">
        <v>9</v>
      </c>
      <c r="F19" s="7" t="s">
        <v>94</v>
      </c>
      <c r="G19" s="7" t="s">
        <v>95</v>
      </c>
      <c r="H19" s="8">
        <v>90</v>
      </c>
    </row>
    <row r="20" spans="2:8">
      <c r="B20" s="7">
        <v>2005</v>
      </c>
      <c r="C20" s="7" t="s">
        <v>90</v>
      </c>
      <c r="D20" s="7" t="s">
        <v>97</v>
      </c>
      <c r="E20" s="7" t="s">
        <v>10</v>
      </c>
      <c r="F20" s="7" t="s">
        <v>94</v>
      </c>
      <c r="G20" s="7" t="s">
        <v>93</v>
      </c>
      <c r="H20" s="8">
        <v>78</v>
      </c>
    </row>
    <row r="21" spans="2:8">
      <c r="B21" s="7">
        <v>2005</v>
      </c>
      <c r="C21" s="7" t="s">
        <v>90</v>
      </c>
      <c r="D21" s="7" t="s">
        <v>97</v>
      </c>
      <c r="E21" s="7" t="s">
        <v>10</v>
      </c>
      <c r="F21" s="7" t="s">
        <v>94</v>
      </c>
      <c r="G21" s="7" t="s">
        <v>95</v>
      </c>
      <c r="H21" s="8">
        <v>61</v>
      </c>
    </row>
    <row r="22" spans="2:8">
      <c r="B22" s="7">
        <v>2005</v>
      </c>
      <c r="C22" s="7" t="s">
        <v>90</v>
      </c>
      <c r="D22" s="7" t="s">
        <v>98</v>
      </c>
      <c r="E22" s="7" t="s">
        <v>9</v>
      </c>
      <c r="F22" s="7" t="s">
        <v>92</v>
      </c>
      <c r="G22" s="7" t="s">
        <v>93</v>
      </c>
      <c r="H22" s="8">
        <v>55</v>
      </c>
    </row>
    <row r="23" spans="2:8">
      <c r="B23" s="7">
        <v>2005</v>
      </c>
      <c r="C23" s="7" t="s">
        <v>90</v>
      </c>
      <c r="D23" s="7" t="s">
        <v>98</v>
      </c>
      <c r="E23" s="7" t="s">
        <v>9</v>
      </c>
      <c r="F23" s="7" t="s">
        <v>92</v>
      </c>
      <c r="G23" s="7" t="s">
        <v>95</v>
      </c>
      <c r="H23" s="8">
        <v>38</v>
      </c>
    </row>
    <row r="24" spans="2:8">
      <c r="B24" s="7">
        <v>2005</v>
      </c>
      <c r="C24" s="7" t="s">
        <v>90</v>
      </c>
      <c r="D24" s="7" t="s">
        <v>98</v>
      </c>
      <c r="E24" s="7" t="s">
        <v>9</v>
      </c>
      <c r="F24" s="7" t="s">
        <v>94</v>
      </c>
      <c r="G24" s="7" t="s">
        <v>93</v>
      </c>
      <c r="H24" s="8">
        <v>573</v>
      </c>
    </row>
    <row r="25" spans="2:8">
      <c r="B25" s="7">
        <v>2005</v>
      </c>
      <c r="C25" s="7" t="s">
        <v>90</v>
      </c>
      <c r="D25" s="7" t="s">
        <v>98</v>
      </c>
      <c r="E25" s="7" t="s">
        <v>9</v>
      </c>
      <c r="F25" s="7" t="s">
        <v>94</v>
      </c>
      <c r="G25" s="7" t="s">
        <v>95</v>
      </c>
      <c r="H25" s="8">
        <v>400</v>
      </c>
    </row>
    <row r="26" spans="2:8">
      <c r="B26" s="7">
        <v>2005</v>
      </c>
      <c r="C26" s="7" t="s">
        <v>90</v>
      </c>
      <c r="D26" s="7" t="s">
        <v>98</v>
      </c>
      <c r="E26" s="7" t="s">
        <v>10</v>
      </c>
      <c r="F26" s="7" t="s">
        <v>92</v>
      </c>
      <c r="G26" s="7" t="s">
        <v>93</v>
      </c>
      <c r="H26" s="8">
        <v>9</v>
      </c>
    </row>
    <row r="27" spans="2:8">
      <c r="B27" s="7">
        <v>2005</v>
      </c>
      <c r="C27" s="7" t="s">
        <v>90</v>
      </c>
      <c r="D27" s="7" t="s">
        <v>98</v>
      </c>
      <c r="E27" s="7" t="s">
        <v>10</v>
      </c>
      <c r="F27" s="7" t="s">
        <v>92</v>
      </c>
      <c r="G27" s="7" t="s">
        <v>95</v>
      </c>
      <c r="H27" s="8">
        <v>11</v>
      </c>
    </row>
    <row r="28" spans="2:8">
      <c r="B28" s="7">
        <v>2005</v>
      </c>
      <c r="C28" s="7" t="s">
        <v>90</v>
      </c>
      <c r="D28" s="7" t="s">
        <v>98</v>
      </c>
      <c r="E28" s="7" t="s">
        <v>10</v>
      </c>
      <c r="F28" s="7" t="s">
        <v>94</v>
      </c>
      <c r="G28" s="7" t="s">
        <v>93</v>
      </c>
      <c r="H28" s="8">
        <v>392</v>
      </c>
    </row>
    <row r="29" spans="2:8">
      <c r="B29" s="7">
        <v>2005</v>
      </c>
      <c r="C29" s="7" t="s">
        <v>90</v>
      </c>
      <c r="D29" s="7" t="s">
        <v>98</v>
      </c>
      <c r="E29" s="7" t="s">
        <v>10</v>
      </c>
      <c r="F29" s="7" t="s">
        <v>94</v>
      </c>
      <c r="G29" s="7" t="s">
        <v>95</v>
      </c>
      <c r="H29" s="8">
        <v>318</v>
      </c>
    </row>
    <row r="30" spans="2:8">
      <c r="B30" s="7">
        <v>2005</v>
      </c>
      <c r="C30" s="7" t="s">
        <v>90</v>
      </c>
      <c r="D30" s="7" t="s">
        <v>99</v>
      </c>
      <c r="E30" s="7" t="s">
        <v>9</v>
      </c>
      <c r="F30" s="7" t="s">
        <v>92</v>
      </c>
      <c r="G30" s="7" t="s">
        <v>93</v>
      </c>
      <c r="H30" s="8">
        <v>14</v>
      </c>
    </row>
    <row r="31" spans="2:8">
      <c r="B31" s="7">
        <v>2005</v>
      </c>
      <c r="C31" s="7" t="s">
        <v>90</v>
      </c>
      <c r="D31" s="7" t="s">
        <v>99</v>
      </c>
      <c r="E31" s="7" t="s">
        <v>9</v>
      </c>
      <c r="F31" s="7" t="s">
        <v>92</v>
      </c>
      <c r="G31" s="7" t="s">
        <v>95</v>
      </c>
      <c r="H31" s="8">
        <v>3</v>
      </c>
    </row>
    <row r="32" spans="2:8">
      <c r="B32" s="7">
        <v>2005</v>
      </c>
      <c r="C32" s="7" t="s">
        <v>90</v>
      </c>
      <c r="D32" s="7" t="s">
        <v>99</v>
      </c>
      <c r="E32" s="7" t="s">
        <v>9</v>
      </c>
      <c r="F32" s="7" t="s">
        <v>94</v>
      </c>
      <c r="G32" s="7" t="s">
        <v>93</v>
      </c>
      <c r="H32" s="8">
        <v>354</v>
      </c>
    </row>
    <row r="33" spans="2:8">
      <c r="B33" s="7">
        <v>2005</v>
      </c>
      <c r="C33" s="7" t="s">
        <v>90</v>
      </c>
      <c r="D33" s="7" t="s">
        <v>99</v>
      </c>
      <c r="E33" s="7" t="s">
        <v>9</v>
      </c>
      <c r="F33" s="7" t="s">
        <v>94</v>
      </c>
      <c r="G33" s="7" t="s">
        <v>95</v>
      </c>
      <c r="H33" s="8">
        <v>236</v>
      </c>
    </row>
    <row r="34" spans="2:8">
      <c r="B34" s="7">
        <v>2005</v>
      </c>
      <c r="C34" s="7" t="s">
        <v>90</v>
      </c>
      <c r="D34" s="7" t="s">
        <v>99</v>
      </c>
      <c r="E34" s="7" t="s">
        <v>10</v>
      </c>
      <c r="F34" s="7" t="s">
        <v>94</v>
      </c>
      <c r="G34" s="7" t="s">
        <v>93</v>
      </c>
      <c r="H34" s="8">
        <v>234</v>
      </c>
    </row>
    <row r="35" spans="2:8">
      <c r="B35" s="7">
        <v>2005</v>
      </c>
      <c r="C35" s="7" t="s">
        <v>90</v>
      </c>
      <c r="D35" s="7" t="s">
        <v>99</v>
      </c>
      <c r="E35" s="7" t="s">
        <v>10</v>
      </c>
      <c r="F35" s="7" t="s">
        <v>94</v>
      </c>
      <c r="G35" s="7" t="s">
        <v>95</v>
      </c>
      <c r="H35" s="8">
        <v>114</v>
      </c>
    </row>
    <row r="36" spans="2:8">
      <c r="B36" s="7">
        <v>2005</v>
      </c>
      <c r="C36" s="7" t="s">
        <v>90</v>
      </c>
      <c r="D36" s="7" t="s">
        <v>100</v>
      </c>
      <c r="E36" s="7" t="s">
        <v>9</v>
      </c>
      <c r="F36" s="7" t="s">
        <v>94</v>
      </c>
      <c r="G36" s="7" t="s">
        <v>93</v>
      </c>
      <c r="H36" s="8">
        <v>102</v>
      </c>
    </row>
    <row r="37" spans="2:8">
      <c r="B37" s="7">
        <v>2005</v>
      </c>
      <c r="C37" s="7" t="s">
        <v>90</v>
      </c>
      <c r="D37" s="7" t="s">
        <v>100</v>
      </c>
      <c r="E37" s="7" t="s">
        <v>9</v>
      </c>
      <c r="F37" s="7" t="s">
        <v>94</v>
      </c>
      <c r="G37" s="7" t="s">
        <v>95</v>
      </c>
      <c r="H37" s="8">
        <v>63</v>
      </c>
    </row>
    <row r="38" spans="2:8">
      <c r="B38" s="7">
        <v>2005</v>
      </c>
      <c r="C38" s="7" t="s">
        <v>90</v>
      </c>
      <c r="D38" s="7" t="s">
        <v>100</v>
      </c>
      <c r="E38" s="7" t="s">
        <v>10</v>
      </c>
      <c r="F38" s="7" t="s">
        <v>94</v>
      </c>
      <c r="G38" s="7" t="s">
        <v>93</v>
      </c>
      <c r="H38" s="8">
        <v>27</v>
      </c>
    </row>
    <row r="39" spans="2:8">
      <c r="B39" s="7">
        <v>2005</v>
      </c>
      <c r="C39" s="7" t="s">
        <v>90</v>
      </c>
      <c r="D39" s="7" t="s">
        <v>100</v>
      </c>
      <c r="E39" s="7" t="s">
        <v>10</v>
      </c>
      <c r="F39" s="7" t="s">
        <v>94</v>
      </c>
      <c r="G39" s="7" t="s">
        <v>95</v>
      </c>
      <c r="H39" s="8">
        <v>21</v>
      </c>
    </row>
    <row r="40" spans="2:8">
      <c r="B40" s="7">
        <v>2005</v>
      </c>
      <c r="C40" s="7" t="s">
        <v>90</v>
      </c>
      <c r="D40" s="7" t="s">
        <v>101</v>
      </c>
      <c r="E40" s="7" t="s">
        <v>9</v>
      </c>
      <c r="F40" s="7" t="s">
        <v>92</v>
      </c>
      <c r="G40" s="7" t="s">
        <v>93</v>
      </c>
      <c r="H40" s="8">
        <v>4</v>
      </c>
    </row>
    <row r="41" spans="2:8">
      <c r="B41" s="7">
        <v>2005</v>
      </c>
      <c r="C41" s="7" t="s">
        <v>90</v>
      </c>
      <c r="D41" s="7" t="s">
        <v>101</v>
      </c>
      <c r="E41" s="7" t="s">
        <v>9</v>
      </c>
      <c r="F41" s="7" t="s">
        <v>94</v>
      </c>
      <c r="G41" s="7" t="s">
        <v>93</v>
      </c>
      <c r="H41" s="8">
        <v>140</v>
      </c>
    </row>
    <row r="42" spans="2:8">
      <c r="B42" s="7">
        <v>2005</v>
      </c>
      <c r="C42" s="7" t="s">
        <v>90</v>
      </c>
      <c r="D42" s="7" t="s">
        <v>101</v>
      </c>
      <c r="E42" s="7" t="s">
        <v>9</v>
      </c>
      <c r="F42" s="7" t="s">
        <v>94</v>
      </c>
      <c r="G42" s="7" t="s">
        <v>95</v>
      </c>
      <c r="H42" s="8">
        <v>108</v>
      </c>
    </row>
    <row r="43" spans="2:8">
      <c r="B43" s="7">
        <v>2005</v>
      </c>
      <c r="C43" s="7" t="s">
        <v>90</v>
      </c>
      <c r="D43" s="7" t="s">
        <v>101</v>
      </c>
      <c r="E43" s="7" t="s">
        <v>10</v>
      </c>
      <c r="F43" s="7" t="s">
        <v>94</v>
      </c>
      <c r="G43" s="7" t="s">
        <v>93</v>
      </c>
      <c r="H43" s="8">
        <v>24</v>
      </c>
    </row>
    <row r="44" spans="2:8">
      <c r="B44" s="7">
        <v>2005</v>
      </c>
      <c r="C44" s="7" t="s">
        <v>90</v>
      </c>
      <c r="D44" s="7" t="s">
        <v>101</v>
      </c>
      <c r="E44" s="7" t="s">
        <v>10</v>
      </c>
      <c r="F44" s="7" t="s">
        <v>94</v>
      </c>
      <c r="G44" s="7" t="s">
        <v>95</v>
      </c>
      <c r="H44" s="8">
        <v>24</v>
      </c>
    </row>
    <row r="45" spans="2:8">
      <c r="B45" s="7">
        <v>2005</v>
      </c>
      <c r="C45" s="7" t="s">
        <v>102</v>
      </c>
      <c r="D45" s="7" t="s">
        <v>103</v>
      </c>
      <c r="E45" s="7" t="s">
        <v>9</v>
      </c>
      <c r="F45" s="7" t="s">
        <v>92</v>
      </c>
      <c r="G45" s="7" t="s">
        <v>93</v>
      </c>
      <c r="H45" s="8">
        <v>2</v>
      </c>
    </row>
    <row r="46" spans="2:8">
      <c r="B46" s="7">
        <v>2005</v>
      </c>
      <c r="C46" s="7" t="s">
        <v>102</v>
      </c>
      <c r="D46" s="7" t="s">
        <v>103</v>
      </c>
      <c r="E46" s="7" t="s">
        <v>9</v>
      </c>
      <c r="F46" s="7" t="s">
        <v>92</v>
      </c>
      <c r="G46" s="7" t="s">
        <v>95</v>
      </c>
      <c r="H46" s="8">
        <v>1</v>
      </c>
    </row>
    <row r="47" spans="2:8">
      <c r="B47" s="7">
        <v>2005</v>
      </c>
      <c r="C47" s="7" t="s">
        <v>102</v>
      </c>
      <c r="D47" s="7" t="s">
        <v>103</v>
      </c>
      <c r="E47" s="7" t="s">
        <v>9</v>
      </c>
      <c r="F47" s="7" t="s">
        <v>94</v>
      </c>
      <c r="G47" s="7" t="s">
        <v>93</v>
      </c>
      <c r="H47" s="8">
        <v>92</v>
      </c>
    </row>
    <row r="48" spans="2:8">
      <c r="B48" s="7">
        <v>2005</v>
      </c>
      <c r="C48" s="7" t="s">
        <v>102</v>
      </c>
      <c r="D48" s="7" t="s">
        <v>103</v>
      </c>
      <c r="E48" s="7" t="s">
        <v>9</v>
      </c>
      <c r="F48" s="7" t="s">
        <v>94</v>
      </c>
      <c r="G48" s="7" t="s">
        <v>95</v>
      </c>
      <c r="H48" s="8">
        <v>67</v>
      </c>
    </row>
    <row r="49" spans="2:8">
      <c r="B49" s="7">
        <v>2005</v>
      </c>
      <c r="C49" s="7" t="s">
        <v>102</v>
      </c>
      <c r="D49" s="7" t="s">
        <v>103</v>
      </c>
      <c r="E49" s="7" t="s">
        <v>10</v>
      </c>
      <c r="F49" s="7" t="s">
        <v>94</v>
      </c>
      <c r="G49" s="7" t="s">
        <v>93</v>
      </c>
      <c r="H49" s="8">
        <v>45</v>
      </c>
    </row>
    <row r="50" spans="2:8">
      <c r="B50" s="7">
        <v>2005</v>
      </c>
      <c r="C50" s="7" t="s">
        <v>102</v>
      </c>
      <c r="D50" s="7" t="s">
        <v>103</v>
      </c>
      <c r="E50" s="7" t="s">
        <v>10</v>
      </c>
      <c r="F50" s="7" t="s">
        <v>94</v>
      </c>
      <c r="G50" s="7" t="s">
        <v>95</v>
      </c>
      <c r="H50" s="8">
        <v>31</v>
      </c>
    </row>
    <row r="51" spans="2:8">
      <c r="B51" s="7">
        <v>2005</v>
      </c>
      <c r="C51" s="7" t="s">
        <v>102</v>
      </c>
      <c r="D51" s="7" t="s">
        <v>104</v>
      </c>
      <c r="E51" s="7" t="s">
        <v>9</v>
      </c>
      <c r="F51" s="7" t="s">
        <v>92</v>
      </c>
      <c r="G51" s="7" t="s">
        <v>93</v>
      </c>
      <c r="H51" s="8">
        <v>2166</v>
      </c>
    </row>
    <row r="52" spans="2:8">
      <c r="B52" s="7">
        <v>2005</v>
      </c>
      <c r="C52" s="7" t="s">
        <v>102</v>
      </c>
      <c r="D52" s="7" t="s">
        <v>104</v>
      </c>
      <c r="E52" s="7" t="s">
        <v>9</v>
      </c>
      <c r="F52" s="7" t="s">
        <v>92</v>
      </c>
      <c r="G52" s="7" t="s">
        <v>95</v>
      </c>
      <c r="H52" s="8">
        <v>1134</v>
      </c>
    </row>
    <row r="53" spans="2:8">
      <c r="B53" s="7">
        <v>2005</v>
      </c>
      <c r="C53" s="7" t="s">
        <v>102</v>
      </c>
      <c r="D53" s="7" t="s">
        <v>104</v>
      </c>
      <c r="E53" s="7" t="s">
        <v>9</v>
      </c>
      <c r="F53" s="7" t="s">
        <v>94</v>
      </c>
      <c r="G53" s="7" t="s">
        <v>93</v>
      </c>
      <c r="H53" s="8">
        <v>1695</v>
      </c>
    </row>
    <row r="54" spans="2:8">
      <c r="B54" s="7">
        <v>2005</v>
      </c>
      <c r="C54" s="7" t="s">
        <v>102</v>
      </c>
      <c r="D54" s="7" t="s">
        <v>104</v>
      </c>
      <c r="E54" s="7" t="s">
        <v>9</v>
      </c>
      <c r="F54" s="7" t="s">
        <v>94</v>
      </c>
      <c r="G54" s="7" t="s">
        <v>95</v>
      </c>
      <c r="H54" s="8">
        <v>1369</v>
      </c>
    </row>
    <row r="55" spans="2:8">
      <c r="B55" s="7">
        <v>2005</v>
      </c>
      <c r="C55" s="7" t="s">
        <v>102</v>
      </c>
      <c r="D55" s="7" t="s">
        <v>104</v>
      </c>
      <c r="E55" s="7" t="s">
        <v>10</v>
      </c>
      <c r="F55" s="7" t="s">
        <v>92</v>
      </c>
      <c r="G55" s="7" t="s">
        <v>93</v>
      </c>
      <c r="H55" s="8">
        <v>1</v>
      </c>
    </row>
    <row r="56" spans="2:8">
      <c r="B56" s="7">
        <v>2005</v>
      </c>
      <c r="C56" s="7" t="s">
        <v>102</v>
      </c>
      <c r="D56" s="7" t="s">
        <v>104</v>
      </c>
      <c r="E56" s="7" t="s">
        <v>10</v>
      </c>
      <c r="F56" s="7" t="s">
        <v>92</v>
      </c>
      <c r="G56" s="7" t="s">
        <v>95</v>
      </c>
      <c r="H56" s="8">
        <v>1</v>
      </c>
    </row>
    <row r="57" spans="2:8">
      <c r="B57" s="7">
        <v>2005</v>
      </c>
      <c r="C57" s="7" t="s">
        <v>102</v>
      </c>
      <c r="D57" s="7" t="s">
        <v>104</v>
      </c>
      <c r="E57" s="7" t="s">
        <v>10</v>
      </c>
      <c r="F57" s="7" t="s">
        <v>94</v>
      </c>
      <c r="G57" s="7" t="s">
        <v>93</v>
      </c>
      <c r="H57" s="8">
        <v>975</v>
      </c>
    </row>
    <row r="58" spans="2:8">
      <c r="B58" s="7">
        <v>2005</v>
      </c>
      <c r="C58" s="7" t="s">
        <v>102</v>
      </c>
      <c r="D58" s="7" t="s">
        <v>104</v>
      </c>
      <c r="E58" s="7" t="s">
        <v>10</v>
      </c>
      <c r="F58" s="7" t="s">
        <v>94</v>
      </c>
      <c r="G58" s="7" t="s">
        <v>95</v>
      </c>
      <c r="H58" s="8">
        <v>641</v>
      </c>
    </row>
    <row r="59" spans="2:8">
      <c r="B59" s="7">
        <v>2005</v>
      </c>
      <c r="C59" s="7" t="s">
        <v>102</v>
      </c>
      <c r="D59" s="7" t="s">
        <v>105</v>
      </c>
      <c r="E59" s="7" t="s">
        <v>9</v>
      </c>
      <c r="F59" s="7" t="s">
        <v>92</v>
      </c>
      <c r="G59" s="7" t="s">
        <v>93</v>
      </c>
      <c r="H59" s="8">
        <v>1</v>
      </c>
    </row>
    <row r="60" spans="2:8">
      <c r="B60" s="7">
        <v>2005</v>
      </c>
      <c r="C60" s="7" t="s">
        <v>102</v>
      </c>
      <c r="D60" s="7" t="s">
        <v>105</v>
      </c>
      <c r="E60" s="7" t="s">
        <v>9</v>
      </c>
      <c r="F60" s="7" t="s">
        <v>92</v>
      </c>
      <c r="G60" s="7" t="s">
        <v>95</v>
      </c>
      <c r="H60" s="8">
        <v>5</v>
      </c>
    </row>
    <row r="61" spans="2:8">
      <c r="B61" s="7">
        <v>2005</v>
      </c>
      <c r="C61" s="7" t="s">
        <v>102</v>
      </c>
      <c r="D61" s="7" t="s">
        <v>105</v>
      </c>
      <c r="E61" s="7" t="s">
        <v>9</v>
      </c>
      <c r="F61" s="7" t="s">
        <v>94</v>
      </c>
      <c r="G61" s="7" t="s">
        <v>93</v>
      </c>
      <c r="H61" s="8">
        <v>453</v>
      </c>
    </row>
    <row r="62" spans="2:8">
      <c r="B62" s="7">
        <v>2005</v>
      </c>
      <c r="C62" s="7" t="s">
        <v>102</v>
      </c>
      <c r="D62" s="7" t="s">
        <v>105</v>
      </c>
      <c r="E62" s="7" t="s">
        <v>9</v>
      </c>
      <c r="F62" s="7" t="s">
        <v>94</v>
      </c>
      <c r="G62" s="7" t="s">
        <v>95</v>
      </c>
      <c r="H62" s="8">
        <v>410</v>
      </c>
    </row>
    <row r="63" spans="2:8">
      <c r="B63" s="7">
        <v>2005</v>
      </c>
      <c r="C63" s="7" t="s">
        <v>102</v>
      </c>
      <c r="D63" s="7" t="s">
        <v>105</v>
      </c>
      <c r="E63" s="7" t="s">
        <v>10</v>
      </c>
      <c r="F63" s="7" t="s">
        <v>92</v>
      </c>
      <c r="G63" s="7" t="s">
        <v>93</v>
      </c>
      <c r="H63" s="8">
        <v>1</v>
      </c>
    </row>
    <row r="64" spans="2:8">
      <c r="B64" s="7">
        <v>2005</v>
      </c>
      <c r="C64" s="7" t="s">
        <v>102</v>
      </c>
      <c r="D64" s="7" t="s">
        <v>105</v>
      </c>
      <c r="E64" s="7" t="s">
        <v>10</v>
      </c>
      <c r="F64" s="7" t="s">
        <v>92</v>
      </c>
      <c r="G64" s="7" t="s">
        <v>95</v>
      </c>
      <c r="H64" s="8">
        <v>1</v>
      </c>
    </row>
    <row r="65" spans="2:8">
      <c r="B65" s="7">
        <v>2005</v>
      </c>
      <c r="C65" s="7" t="s">
        <v>102</v>
      </c>
      <c r="D65" s="7" t="s">
        <v>105</v>
      </c>
      <c r="E65" s="7" t="s">
        <v>10</v>
      </c>
      <c r="F65" s="7" t="s">
        <v>94</v>
      </c>
      <c r="G65" s="7" t="s">
        <v>93</v>
      </c>
      <c r="H65" s="8">
        <v>211</v>
      </c>
    </row>
    <row r="66" spans="2:8">
      <c r="B66" s="7">
        <v>2005</v>
      </c>
      <c r="C66" s="7" t="s">
        <v>102</v>
      </c>
      <c r="D66" s="7" t="s">
        <v>105</v>
      </c>
      <c r="E66" s="7" t="s">
        <v>10</v>
      </c>
      <c r="F66" s="7" t="s">
        <v>94</v>
      </c>
      <c r="G66" s="7" t="s">
        <v>95</v>
      </c>
      <c r="H66" s="8">
        <v>175</v>
      </c>
    </row>
    <row r="67" spans="2:8">
      <c r="B67" s="7">
        <v>2005</v>
      </c>
      <c r="C67" s="7" t="s">
        <v>102</v>
      </c>
      <c r="D67" s="7" t="s">
        <v>106</v>
      </c>
      <c r="E67" s="7" t="s">
        <v>9</v>
      </c>
      <c r="F67" s="7" t="s">
        <v>92</v>
      </c>
      <c r="G67" s="7" t="s">
        <v>93</v>
      </c>
      <c r="H67" s="8">
        <v>1</v>
      </c>
    </row>
    <row r="68" spans="2:8">
      <c r="B68" s="7">
        <v>2005</v>
      </c>
      <c r="C68" s="7" t="s">
        <v>102</v>
      </c>
      <c r="D68" s="7" t="s">
        <v>106</v>
      </c>
      <c r="E68" s="7" t="s">
        <v>9</v>
      </c>
      <c r="F68" s="7" t="s">
        <v>92</v>
      </c>
      <c r="G68" s="7" t="s">
        <v>95</v>
      </c>
      <c r="H68" s="8">
        <v>1</v>
      </c>
    </row>
    <row r="69" spans="2:8">
      <c r="B69" s="7">
        <v>2005</v>
      </c>
      <c r="C69" s="7" t="s">
        <v>102</v>
      </c>
      <c r="D69" s="7" t="s">
        <v>106</v>
      </c>
      <c r="E69" s="7" t="s">
        <v>9</v>
      </c>
      <c r="F69" s="7" t="s">
        <v>94</v>
      </c>
      <c r="G69" s="7" t="s">
        <v>93</v>
      </c>
      <c r="H69" s="8">
        <v>363</v>
      </c>
    </row>
    <row r="70" spans="2:8">
      <c r="B70" s="7">
        <v>2005</v>
      </c>
      <c r="C70" s="7" t="s">
        <v>102</v>
      </c>
      <c r="D70" s="7" t="s">
        <v>106</v>
      </c>
      <c r="E70" s="7" t="s">
        <v>9</v>
      </c>
      <c r="F70" s="7" t="s">
        <v>94</v>
      </c>
      <c r="G70" s="7" t="s">
        <v>95</v>
      </c>
      <c r="H70" s="8">
        <v>246</v>
      </c>
    </row>
    <row r="71" spans="2:8">
      <c r="B71" s="7">
        <v>2005</v>
      </c>
      <c r="C71" s="7" t="s">
        <v>102</v>
      </c>
      <c r="D71" s="7" t="s">
        <v>106</v>
      </c>
      <c r="E71" s="7" t="s">
        <v>10</v>
      </c>
      <c r="F71" s="7" t="s">
        <v>94</v>
      </c>
      <c r="G71" s="7" t="s">
        <v>93</v>
      </c>
      <c r="H71" s="8">
        <v>238</v>
      </c>
    </row>
    <row r="72" spans="2:8">
      <c r="B72" s="7">
        <v>2005</v>
      </c>
      <c r="C72" s="7" t="s">
        <v>102</v>
      </c>
      <c r="D72" s="7" t="s">
        <v>106</v>
      </c>
      <c r="E72" s="7" t="s">
        <v>10</v>
      </c>
      <c r="F72" s="7" t="s">
        <v>94</v>
      </c>
      <c r="G72" s="7" t="s">
        <v>95</v>
      </c>
      <c r="H72" s="8">
        <v>101</v>
      </c>
    </row>
    <row r="73" spans="2:8">
      <c r="B73" s="7">
        <v>2005</v>
      </c>
      <c r="C73" s="7" t="s">
        <v>102</v>
      </c>
      <c r="D73" s="7" t="s">
        <v>107</v>
      </c>
      <c r="E73" s="7" t="s">
        <v>9</v>
      </c>
      <c r="F73" s="7" t="s">
        <v>94</v>
      </c>
      <c r="G73" s="7" t="s">
        <v>93</v>
      </c>
      <c r="H73" s="8">
        <v>138</v>
      </c>
    </row>
    <row r="74" spans="2:8">
      <c r="B74" s="7">
        <v>2005</v>
      </c>
      <c r="C74" s="7" t="s">
        <v>102</v>
      </c>
      <c r="D74" s="7" t="s">
        <v>107</v>
      </c>
      <c r="E74" s="7" t="s">
        <v>9</v>
      </c>
      <c r="F74" s="7" t="s">
        <v>94</v>
      </c>
      <c r="G74" s="7" t="s">
        <v>95</v>
      </c>
      <c r="H74" s="8">
        <v>105</v>
      </c>
    </row>
    <row r="75" spans="2:8">
      <c r="B75" s="7">
        <v>2005</v>
      </c>
      <c r="C75" s="7" t="s">
        <v>102</v>
      </c>
      <c r="D75" s="7" t="s">
        <v>107</v>
      </c>
      <c r="E75" s="7" t="s">
        <v>10</v>
      </c>
      <c r="F75" s="7" t="s">
        <v>94</v>
      </c>
      <c r="G75" s="7" t="s">
        <v>93</v>
      </c>
      <c r="H75" s="8">
        <v>69</v>
      </c>
    </row>
    <row r="76" spans="2:8">
      <c r="B76" s="7">
        <v>2005</v>
      </c>
      <c r="C76" s="7" t="s">
        <v>102</v>
      </c>
      <c r="D76" s="7" t="s">
        <v>107</v>
      </c>
      <c r="E76" s="7" t="s">
        <v>10</v>
      </c>
      <c r="F76" s="7" t="s">
        <v>94</v>
      </c>
      <c r="G76" s="7" t="s">
        <v>95</v>
      </c>
      <c r="H76" s="8">
        <v>50</v>
      </c>
    </row>
    <row r="77" spans="2:8">
      <c r="B77" s="7">
        <v>2005</v>
      </c>
      <c r="C77" s="7" t="s">
        <v>102</v>
      </c>
      <c r="D77" s="7" t="s">
        <v>108</v>
      </c>
      <c r="E77" s="7" t="s">
        <v>9</v>
      </c>
      <c r="F77" s="7" t="s">
        <v>92</v>
      </c>
      <c r="G77" s="7" t="s">
        <v>93</v>
      </c>
      <c r="H77" s="8">
        <v>17</v>
      </c>
    </row>
    <row r="78" spans="2:8">
      <c r="B78" s="7">
        <v>2005</v>
      </c>
      <c r="C78" s="7" t="s">
        <v>102</v>
      </c>
      <c r="D78" s="7" t="s">
        <v>108</v>
      </c>
      <c r="E78" s="7" t="s">
        <v>9</v>
      </c>
      <c r="F78" s="7" t="s">
        <v>92</v>
      </c>
      <c r="G78" s="7" t="s">
        <v>95</v>
      </c>
      <c r="H78" s="8">
        <v>7</v>
      </c>
    </row>
    <row r="79" spans="2:8">
      <c r="B79" s="7">
        <v>2005</v>
      </c>
      <c r="C79" s="7" t="s">
        <v>102</v>
      </c>
      <c r="D79" s="7" t="s">
        <v>108</v>
      </c>
      <c r="E79" s="7" t="s">
        <v>9</v>
      </c>
      <c r="F79" s="7" t="s">
        <v>94</v>
      </c>
      <c r="G79" s="7" t="s">
        <v>93</v>
      </c>
      <c r="H79" s="8">
        <v>708</v>
      </c>
    </row>
    <row r="80" spans="2:8">
      <c r="B80" s="7">
        <v>2005</v>
      </c>
      <c r="C80" s="7" t="s">
        <v>102</v>
      </c>
      <c r="D80" s="7" t="s">
        <v>108</v>
      </c>
      <c r="E80" s="7" t="s">
        <v>9</v>
      </c>
      <c r="F80" s="7" t="s">
        <v>94</v>
      </c>
      <c r="G80" s="7" t="s">
        <v>95</v>
      </c>
      <c r="H80" s="8">
        <v>497</v>
      </c>
    </row>
    <row r="81" spans="2:8">
      <c r="B81" s="7">
        <v>2005</v>
      </c>
      <c r="C81" s="7" t="s">
        <v>102</v>
      </c>
      <c r="D81" s="7" t="s">
        <v>108</v>
      </c>
      <c r="E81" s="7" t="s">
        <v>10</v>
      </c>
      <c r="F81" s="7" t="s">
        <v>94</v>
      </c>
      <c r="G81" s="7" t="s">
        <v>93</v>
      </c>
      <c r="H81" s="8">
        <v>233</v>
      </c>
    </row>
    <row r="82" spans="2:8">
      <c r="B82" s="7">
        <v>2005</v>
      </c>
      <c r="C82" s="7" t="s">
        <v>102</v>
      </c>
      <c r="D82" s="7" t="s">
        <v>108</v>
      </c>
      <c r="E82" s="7" t="s">
        <v>10</v>
      </c>
      <c r="F82" s="7" t="s">
        <v>94</v>
      </c>
      <c r="G82" s="7" t="s">
        <v>95</v>
      </c>
      <c r="H82" s="8">
        <v>172</v>
      </c>
    </row>
    <row r="83" spans="2:8">
      <c r="B83" s="7">
        <v>2005</v>
      </c>
      <c r="C83" s="7" t="s">
        <v>102</v>
      </c>
      <c r="D83" s="7" t="s">
        <v>109</v>
      </c>
      <c r="E83" s="7" t="s">
        <v>9</v>
      </c>
      <c r="F83" s="7" t="s">
        <v>94</v>
      </c>
      <c r="G83" s="7" t="s">
        <v>93</v>
      </c>
      <c r="H83" s="8">
        <v>333</v>
      </c>
    </row>
    <row r="84" spans="2:8">
      <c r="B84" s="7">
        <v>2005</v>
      </c>
      <c r="C84" s="7" t="s">
        <v>102</v>
      </c>
      <c r="D84" s="7" t="s">
        <v>109</v>
      </c>
      <c r="E84" s="7" t="s">
        <v>9</v>
      </c>
      <c r="F84" s="7" t="s">
        <v>94</v>
      </c>
      <c r="G84" s="7" t="s">
        <v>95</v>
      </c>
      <c r="H84" s="8">
        <v>205</v>
      </c>
    </row>
    <row r="85" spans="2:8">
      <c r="B85" s="7">
        <v>2005</v>
      </c>
      <c r="C85" s="7" t="s">
        <v>102</v>
      </c>
      <c r="D85" s="7" t="s">
        <v>109</v>
      </c>
      <c r="E85" s="7" t="s">
        <v>10</v>
      </c>
      <c r="F85" s="7" t="s">
        <v>94</v>
      </c>
      <c r="G85" s="7" t="s">
        <v>93</v>
      </c>
      <c r="H85" s="8">
        <v>104</v>
      </c>
    </row>
    <row r="86" spans="2:8">
      <c r="B86" s="7">
        <v>2005</v>
      </c>
      <c r="C86" s="7" t="s">
        <v>102</v>
      </c>
      <c r="D86" s="7" t="s">
        <v>109</v>
      </c>
      <c r="E86" s="7" t="s">
        <v>10</v>
      </c>
      <c r="F86" s="7" t="s">
        <v>94</v>
      </c>
      <c r="G86" s="7" t="s">
        <v>95</v>
      </c>
      <c r="H86" s="8">
        <v>48</v>
      </c>
    </row>
    <row r="87" spans="2:8">
      <c r="B87" s="7">
        <v>2005</v>
      </c>
      <c r="C87" s="7" t="s">
        <v>102</v>
      </c>
      <c r="D87" s="7" t="s">
        <v>110</v>
      </c>
      <c r="E87" s="7" t="s">
        <v>9</v>
      </c>
      <c r="F87" s="7" t="s">
        <v>92</v>
      </c>
      <c r="G87" s="7" t="s">
        <v>93</v>
      </c>
      <c r="H87" s="8">
        <v>5</v>
      </c>
    </row>
    <row r="88" spans="2:8">
      <c r="B88" s="7">
        <v>2005</v>
      </c>
      <c r="C88" s="7" t="s">
        <v>102</v>
      </c>
      <c r="D88" s="7" t="s">
        <v>110</v>
      </c>
      <c r="E88" s="7" t="s">
        <v>9</v>
      </c>
      <c r="F88" s="7" t="s">
        <v>92</v>
      </c>
      <c r="G88" s="7" t="s">
        <v>95</v>
      </c>
      <c r="H88" s="8">
        <v>4</v>
      </c>
    </row>
    <row r="89" spans="2:8">
      <c r="B89" s="7">
        <v>2005</v>
      </c>
      <c r="C89" s="7" t="s">
        <v>102</v>
      </c>
      <c r="D89" s="7" t="s">
        <v>110</v>
      </c>
      <c r="E89" s="7" t="s">
        <v>9</v>
      </c>
      <c r="F89" s="7" t="s">
        <v>94</v>
      </c>
      <c r="G89" s="7" t="s">
        <v>93</v>
      </c>
      <c r="H89" s="8">
        <v>196</v>
      </c>
    </row>
    <row r="90" spans="2:8">
      <c r="B90" s="7">
        <v>2005</v>
      </c>
      <c r="C90" s="7" t="s">
        <v>102</v>
      </c>
      <c r="D90" s="7" t="s">
        <v>110</v>
      </c>
      <c r="E90" s="7" t="s">
        <v>9</v>
      </c>
      <c r="F90" s="7" t="s">
        <v>94</v>
      </c>
      <c r="G90" s="7" t="s">
        <v>95</v>
      </c>
      <c r="H90" s="8">
        <v>186</v>
      </c>
    </row>
    <row r="91" spans="2:8">
      <c r="B91" s="7">
        <v>2005</v>
      </c>
      <c r="C91" s="7" t="s">
        <v>102</v>
      </c>
      <c r="D91" s="7" t="s">
        <v>110</v>
      </c>
      <c r="E91" s="7" t="s">
        <v>10</v>
      </c>
      <c r="F91" s="7" t="s">
        <v>94</v>
      </c>
      <c r="G91" s="7" t="s">
        <v>93</v>
      </c>
      <c r="H91" s="8">
        <v>179</v>
      </c>
    </row>
    <row r="92" spans="2:8">
      <c r="B92" s="7">
        <v>2005</v>
      </c>
      <c r="C92" s="7" t="s">
        <v>102</v>
      </c>
      <c r="D92" s="7" t="s">
        <v>110</v>
      </c>
      <c r="E92" s="7" t="s">
        <v>10</v>
      </c>
      <c r="F92" s="7" t="s">
        <v>94</v>
      </c>
      <c r="G92" s="7" t="s">
        <v>95</v>
      </c>
      <c r="H92" s="8">
        <v>135</v>
      </c>
    </row>
    <row r="93" spans="2:8">
      <c r="B93" s="7">
        <v>2005</v>
      </c>
      <c r="C93" s="7" t="s">
        <v>102</v>
      </c>
      <c r="D93" s="7" t="s">
        <v>111</v>
      </c>
      <c r="E93" s="7" t="s">
        <v>9</v>
      </c>
      <c r="F93" s="7" t="s">
        <v>92</v>
      </c>
      <c r="G93" s="7" t="s">
        <v>93</v>
      </c>
      <c r="H93" s="8">
        <v>5</v>
      </c>
    </row>
    <row r="94" spans="2:8">
      <c r="B94" s="7">
        <v>2005</v>
      </c>
      <c r="C94" s="7" t="s">
        <v>102</v>
      </c>
      <c r="D94" s="7" t="s">
        <v>111</v>
      </c>
      <c r="E94" s="7" t="s">
        <v>9</v>
      </c>
      <c r="F94" s="7" t="s">
        <v>92</v>
      </c>
      <c r="G94" s="7" t="s">
        <v>95</v>
      </c>
      <c r="H94" s="8">
        <v>1</v>
      </c>
    </row>
    <row r="95" spans="2:8">
      <c r="B95" s="7">
        <v>2005</v>
      </c>
      <c r="C95" s="7" t="s">
        <v>102</v>
      </c>
      <c r="D95" s="7" t="s">
        <v>111</v>
      </c>
      <c r="E95" s="7" t="s">
        <v>9</v>
      </c>
      <c r="F95" s="7" t="s">
        <v>94</v>
      </c>
      <c r="G95" s="7" t="s">
        <v>93</v>
      </c>
      <c r="H95" s="8">
        <v>73</v>
      </c>
    </row>
    <row r="96" spans="2:8">
      <c r="B96" s="7">
        <v>2005</v>
      </c>
      <c r="C96" s="7" t="s">
        <v>102</v>
      </c>
      <c r="D96" s="7" t="s">
        <v>111</v>
      </c>
      <c r="E96" s="7" t="s">
        <v>9</v>
      </c>
      <c r="F96" s="7" t="s">
        <v>94</v>
      </c>
      <c r="G96" s="7" t="s">
        <v>95</v>
      </c>
      <c r="H96" s="8">
        <v>62</v>
      </c>
    </row>
    <row r="97" spans="2:8">
      <c r="B97" s="7">
        <v>2005</v>
      </c>
      <c r="C97" s="7" t="s">
        <v>102</v>
      </c>
      <c r="D97" s="7" t="s">
        <v>111</v>
      </c>
      <c r="E97" s="7" t="s">
        <v>10</v>
      </c>
      <c r="F97" s="7" t="s">
        <v>94</v>
      </c>
      <c r="G97" s="7" t="s">
        <v>93</v>
      </c>
      <c r="H97" s="8">
        <v>63</v>
      </c>
    </row>
    <row r="98" spans="2:8">
      <c r="B98" s="7">
        <v>2005</v>
      </c>
      <c r="C98" s="7" t="s">
        <v>102</v>
      </c>
      <c r="D98" s="7" t="s">
        <v>111</v>
      </c>
      <c r="E98" s="7" t="s">
        <v>10</v>
      </c>
      <c r="F98" s="7" t="s">
        <v>94</v>
      </c>
      <c r="G98" s="7" t="s">
        <v>95</v>
      </c>
      <c r="H98" s="8">
        <v>27</v>
      </c>
    </row>
    <row r="99" spans="2:8">
      <c r="B99" s="7">
        <v>2005</v>
      </c>
      <c r="C99" s="7" t="s">
        <v>112</v>
      </c>
      <c r="D99" s="7" t="s">
        <v>113</v>
      </c>
      <c r="E99" s="7" t="s">
        <v>9</v>
      </c>
      <c r="F99" s="7" t="s">
        <v>92</v>
      </c>
      <c r="G99" s="7" t="s">
        <v>93</v>
      </c>
      <c r="H99" s="8">
        <v>9</v>
      </c>
    </row>
    <row r="100" spans="2:8">
      <c r="B100" s="7">
        <v>2005</v>
      </c>
      <c r="C100" s="7" t="s">
        <v>112</v>
      </c>
      <c r="D100" s="7" t="s">
        <v>113</v>
      </c>
      <c r="E100" s="7" t="s">
        <v>9</v>
      </c>
      <c r="F100" s="7" t="s">
        <v>92</v>
      </c>
      <c r="G100" s="7" t="s">
        <v>95</v>
      </c>
      <c r="H100" s="8">
        <v>3</v>
      </c>
    </row>
    <row r="101" spans="2:8">
      <c r="B101" s="7">
        <v>2005</v>
      </c>
      <c r="C101" s="7" t="s">
        <v>112</v>
      </c>
      <c r="D101" s="7" t="s">
        <v>113</v>
      </c>
      <c r="E101" s="7" t="s">
        <v>9</v>
      </c>
      <c r="F101" s="7" t="s">
        <v>94</v>
      </c>
      <c r="G101" s="7" t="s">
        <v>93</v>
      </c>
      <c r="H101" s="8">
        <v>750</v>
      </c>
    </row>
    <row r="102" spans="2:8">
      <c r="B102" s="7">
        <v>2005</v>
      </c>
      <c r="C102" s="7" t="s">
        <v>112</v>
      </c>
      <c r="D102" s="7" t="s">
        <v>113</v>
      </c>
      <c r="E102" s="7" t="s">
        <v>9</v>
      </c>
      <c r="F102" s="7" t="s">
        <v>94</v>
      </c>
      <c r="G102" s="7" t="s">
        <v>95</v>
      </c>
      <c r="H102" s="8">
        <v>414</v>
      </c>
    </row>
    <row r="103" spans="2:8">
      <c r="B103" s="7">
        <v>2005</v>
      </c>
      <c r="C103" s="7" t="s">
        <v>112</v>
      </c>
      <c r="D103" s="7" t="s">
        <v>113</v>
      </c>
      <c r="E103" s="7" t="s">
        <v>10</v>
      </c>
      <c r="F103" s="7" t="s">
        <v>94</v>
      </c>
      <c r="G103" s="7" t="s">
        <v>93</v>
      </c>
      <c r="H103" s="8">
        <v>435</v>
      </c>
    </row>
    <row r="104" spans="2:8">
      <c r="B104" s="7">
        <v>2005</v>
      </c>
      <c r="C104" s="7" t="s">
        <v>112</v>
      </c>
      <c r="D104" s="7" t="s">
        <v>113</v>
      </c>
      <c r="E104" s="7" t="s">
        <v>10</v>
      </c>
      <c r="F104" s="7" t="s">
        <v>94</v>
      </c>
      <c r="G104" s="7" t="s">
        <v>95</v>
      </c>
      <c r="H104" s="8">
        <v>303</v>
      </c>
    </row>
    <row r="105" spans="2:8">
      <c r="B105" s="7">
        <v>2005</v>
      </c>
      <c r="C105" s="7" t="s">
        <v>112</v>
      </c>
      <c r="D105" s="7" t="s">
        <v>114</v>
      </c>
      <c r="E105" s="7" t="s">
        <v>9</v>
      </c>
      <c r="F105" s="7" t="s">
        <v>92</v>
      </c>
      <c r="G105" s="7" t="s">
        <v>93</v>
      </c>
      <c r="H105" s="8">
        <v>19</v>
      </c>
    </row>
    <row r="106" spans="2:8">
      <c r="B106" s="7">
        <v>2005</v>
      </c>
      <c r="C106" s="7" t="s">
        <v>112</v>
      </c>
      <c r="D106" s="7" t="s">
        <v>114</v>
      </c>
      <c r="E106" s="7" t="s">
        <v>9</v>
      </c>
      <c r="F106" s="7" t="s">
        <v>92</v>
      </c>
      <c r="G106" s="7" t="s">
        <v>95</v>
      </c>
      <c r="H106" s="8">
        <v>9</v>
      </c>
    </row>
    <row r="107" spans="2:8">
      <c r="B107" s="7">
        <v>2005</v>
      </c>
      <c r="C107" s="7" t="s">
        <v>112</v>
      </c>
      <c r="D107" s="7" t="s">
        <v>114</v>
      </c>
      <c r="E107" s="7" t="s">
        <v>9</v>
      </c>
      <c r="F107" s="7" t="s">
        <v>94</v>
      </c>
      <c r="G107" s="7" t="s">
        <v>93</v>
      </c>
      <c r="H107" s="8">
        <v>1156</v>
      </c>
    </row>
    <row r="108" spans="2:8">
      <c r="B108" s="7">
        <v>2005</v>
      </c>
      <c r="C108" s="7" t="s">
        <v>112</v>
      </c>
      <c r="D108" s="7" t="s">
        <v>114</v>
      </c>
      <c r="E108" s="7" t="s">
        <v>9</v>
      </c>
      <c r="F108" s="7" t="s">
        <v>94</v>
      </c>
      <c r="G108" s="7" t="s">
        <v>95</v>
      </c>
      <c r="H108" s="8">
        <v>725</v>
      </c>
    </row>
    <row r="109" spans="2:8">
      <c r="B109" s="7">
        <v>2005</v>
      </c>
      <c r="C109" s="7" t="s">
        <v>112</v>
      </c>
      <c r="D109" s="7" t="s">
        <v>114</v>
      </c>
      <c r="E109" s="7" t="s">
        <v>10</v>
      </c>
      <c r="F109" s="7" t="s">
        <v>92</v>
      </c>
      <c r="G109" s="7" t="s">
        <v>93</v>
      </c>
      <c r="H109" s="8">
        <v>1</v>
      </c>
    </row>
    <row r="110" spans="2:8">
      <c r="B110" s="7">
        <v>2005</v>
      </c>
      <c r="C110" s="7" t="s">
        <v>112</v>
      </c>
      <c r="D110" s="7" t="s">
        <v>114</v>
      </c>
      <c r="E110" s="7" t="s">
        <v>10</v>
      </c>
      <c r="F110" s="7" t="s">
        <v>94</v>
      </c>
      <c r="G110" s="7" t="s">
        <v>93</v>
      </c>
      <c r="H110" s="8">
        <v>513</v>
      </c>
    </row>
    <row r="111" spans="2:8">
      <c r="B111" s="7">
        <v>2005</v>
      </c>
      <c r="C111" s="7" t="s">
        <v>112</v>
      </c>
      <c r="D111" s="7" t="s">
        <v>114</v>
      </c>
      <c r="E111" s="7" t="s">
        <v>10</v>
      </c>
      <c r="F111" s="7" t="s">
        <v>94</v>
      </c>
      <c r="G111" s="7" t="s">
        <v>95</v>
      </c>
      <c r="H111" s="8">
        <v>297</v>
      </c>
    </row>
    <row r="112" spans="2:8">
      <c r="B112" s="7">
        <v>2005</v>
      </c>
      <c r="C112" s="7" t="s">
        <v>112</v>
      </c>
      <c r="D112" s="7" t="s">
        <v>115</v>
      </c>
      <c r="E112" s="7" t="s">
        <v>9</v>
      </c>
      <c r="F112" s="7" t="s">
        <v>92</v>
      </c>
      <c r="G112" s="7" t="s">
        <v>93</v>
      </c>
      <c r="H112" s="8">
        <v>31</v>
      </c>
    </row>
    <row r="113" spans="2:8">
      <c r="B113" s="7">
        <v>2005</v>
      </c>
      <c r="C113" s="7" t="s">
        <v>112</v>
      </c>
      <c r="D113" s="7" t="s">
        <v>115</v>
      </c>
      <c r="E113" s="7" t="s">
        <v>9</v>
      </c>
      <c r="F113" s="7" t="s">
        <v>92</v>
      </c>
      <c r="G113" s="7" t="s">
        <v>95</v>
      </c>
      <c r="H113" s="8">
        <v>8</v>
      </c>
    </row>
    <row r="114" spans="2:8">
      <c r="B114" s="7">
        <v>2005</v>
      </c>
      <c r="C114" s="7" t="s">
        <v>112</v>
      </c>
      <c r="D114" s="7" t="s">
        <v>115</v>
      </c>
      <c r="E114" s="7" t="s">
        <v>9</v>
      </c>
      <c r="F114" s="7" t="s">
        <v>94</v>
      </c>
      <c r="G114" s="7" t="s">
        <v>93</v>
      </c>
      <c r="H114" s="8">
        <v>673</v>
      </c>
    </row>
    <row r="115" spans="2:8">
      <c r="B115" s="7">
        <v>2005</v>
      </c>
      <c r="C115" s="7" t="s">
        <v>112</v>
      </c>
      <c r="D115" s="7" t="s">
        <v>115</v>
      </c>
      <c r="E115" s="7" t="s">
        <v>9</v>
      </c>
      <c r="F115" s="7" t="s">
        <v>94</v>
      </c>
      <c r="G115" s="7" t="s">
        <v>95</v>
      </c>
      <c r="H115" s="8">
        <v>484</v>
      </c>
    </row>
    <row r="116" spans="2:8">
      <c r="B116" s="7">
        <v>2005</v>
      </c>
      <c r="C116" s="7" t="s">
        <v>112</v>
      </c>
      <c r="D116" s="7" t="s">
        <v>115</v>
      </c>
      <c r="E116" s="7" t="s">
        <v>10</v>
      </c>
      <c r="F116" s="7" t="s">
        <v>94</v>
      </c>
      <c r="G116" s="7" t="s">
        <v>93</v>
      </c>
      <c r="H116" s="8">
        <v>376</v>
      </c>
    </row>
    <row r="117" spans="2:8">
      <c r="B117" s="7">
        <v>2005</v>
      </c>
      <c r="C117" s="7" t="s">
        <v>112</v>
      </c>
      <c r="D117" s="7" t="s">
        <v>115</v>
      </c>
      <c r="E117" s="7" t="s">
        <v>10</v>
      </c>
      <c r="F117" s="7" t="s">
        <v>94</v>
      </c>
      <c r="G117" s="7" t="s">
        <v>95</v>
      </c>
      <c r="H117" s="8">
        <v>207</v>
      </c>
    </row>
    <row r="118" spans="2:8">
      <c r="B118" s="7">
        <v>2005</v>
      </c>
      <c r="C118" s="7" t="s">
        <v>112</v>
      </c>
      <c r="D118" s="7" t="s">
        <v>116</v>
      </c>
      <c r="E118" s="7" t="s">
        <v>9</v>
      </c>
      <c r="F118" s="7" t="s">
        <v>92</v>
      </c>
      <c r="G118" s="7" t="s">
        <v>93</v>
      </c>
      <c r="H118" s="8">
        <v>45</v>
      </c>
    </row>
    <row r="119" spans="2:8">
      <c r="B119" s="7">
        <v>2005</v>
      </c>
      <c r="C119" s="7" t="s">
        <v>112</v>
      </c>
      <c r="D119" s="7" t="s">
        <v>116</v>
      </c>
      <c r="E119" s="7" t="s">
        <v>9</v>
      </c>
      <c r="F119" s="7" t="s">
        <v>92</v>
      </c>
      <c r="G119" s="7" t="s">
        <v>95</v>
      </c>
      <c r="H119" s="8">
        <v>14</v>
      </c>
    </row>
    <row r="120" spans="2:8">
      <c r="B120" s="7">
        <v>2005</v>
      </c>
      <c r="C120" s="7" t="s">
        <v>112</v>
      </c>
      <c r="D120" s="7" t="s">
        <v>116</v>
      </c>
      <c r="E120" s="7" t="s">
        <v>9</v>
      </c>
      <c r="F120" s="7" t="s">
        <v>94</v>
      </c>
      <c r="G120" s="7" t="s">
        <v>93</v>
      </c>
      <c r="H120" s="8">
        <v>405</v>
      </c>
    </row>
    <row r="121" spans="2:8">
      <c r="B121" s="7">
        <v>2005</v>
      </c>
      <c r="C121" s="7" t="s">
        <v>112</v>
      </c>
      <c r="D121" s="7" t="s">
        <v>116</v>
      </c>
      <c r="E121" s="7" t="s">
        <v>9</v>
      </c>
      <c r="F121" s="7" t="s">
        <v>94</v>
      </c>
      <c r="G121" s="7" t="s">
        <v>95</v>
      </c>
      <c r="H121" s="8">
        <v>284</v>
      </c>
    </row>
    <row r="122" spans="2:8">
      <c r="B122" s="7">
        <v>2005</v>
      </c>
      <c r="C122" s="7" t="s">
        <v>112</v>
      </c>
      <c r="D122" s="7" t="s">
        <v>116</v>
      </c>
      <c r="E122" s="7" t="s">
        <v>10</v>
      </c>
      <c r="F122" s="7" t="s">
        <v>94</v>
      </c>
      <c r="G122" s="7" t="s">
        <v>93</v>
      </c>
      <c r="H122" s="8">
        <v>369</v>
      </c>
    </row>
    <row r="123" spans="2:8">
      <c r="B123" s="7">
        <v>2005</v>
      </c>
      <c r="C123" s="7" t="s">
        <v>112</v>
      </c>
      <c r="D123" s="7" t="s">
        <v>116</v>
      </c>
      <c r="E123" s="7" t="s">
        <v>10</v>
      </c>
      <c r="F123" s="7" t="s">
        <v>94</v>
      </c>
      <c r="G123" s="7" t="s">
        <v>95</v>
      </c>
      <c r="H123" s="8">
        <v>258</v>
      </c>
    </row>
    <row r="124" spans="2:8">
      <c r="B124" s="7">
        <v>2005</v>
      </c>
      <c r="C124" s="7" t="s">
        <v>117</v>
      </c>
      <c r="D124" s="7" t="s">
        <v>118</v>
      </c>
      <c r="E124" s="7" t="s">
        <v>9</v>
      </c>
      <c r="F124" s="7" t="s">
        <v>92</v>
      </c>
      <c r="G124" s="7" t="s">
        <v>93</v>
      </c>
      <c r="H124" s="8">
        <v>20</v>
      </c>
    </row>
    <row r="125" spans="2:8">
      <c r="B125" s="7">
        <v>2005</v>
      </c>
      <c r="C125" s="7" t="s">
        <v>117</v>
      </c>
      <c r="D125" s="7" t="s">
        <v>118</v>
      </c>
      <c r="E125" s="7" t="s">
        <v>9</v>
      </c>
      <c r="F125" s="7" t="s">
        <v>92</v>
      </c>
      <c r="G125" s="7" t="s">
        <v>95</v>
      </c>
      <c r="H125" s="8">
        <v>14</v>
      </c>
    </row>
    <row r="126" spans="2:8">
      <c r="B126" s="7">
        <v>2005</v>
      </c>
      <c r="C126" s="7" t="s">
        <v>117</v>
      </c>
      <c r="D126" s="7" t="s">
        <v>118</v>
      </c>
      <c r="E126" s="7" t="s">
        <v>9</v>
      </c>
      <c r="F126" s="7" t="s">
        <v>94</v>
      </c>
      <c r="G126" s="7" t="s">
        <v>93</v>
      </c>
      <c r="H126" s="8">
        <v>824</v>
      </c>
    </row>
    <row r="127" spans="2:8">
      <c r="B127" s="7">
        <v>2005</v>
      </c>
      <c r="C127" s="7" t="s">
        <v>117</v>
      </c>
      <c r="D127" s="7" t="s">
        <v>118</v>
      </c>
      <c r="E127" s="7" t="s">
        <v>9</v>
      </c>
      <c r="F127" s="7" t="s">
        <v>94</v>
      </c>
      <c r="G127" s="7" t="s">
        <v>95</v>
      </c>
      <c r="H127" s="8">
        <v>545</v>
      </c>
    </row>
    <row r="128" spans="2:8">
      <c r="B128" s="7">
        <v>2005</v>
      </c>
      <c r="C128" s="7" t="s">
        <v>117</v>
      </c>
      <c r="D128" s="7" t="s">
        <v>118</v>
      </c>
      <c r="E128" s="7" t="s">
        <v>10</v>
      </c>
      <c r="F128" s="7" t="s">
        <v>94</v>
      </c>
      <c r="G128" s="7" t="s">
        <v>93</v>
      </c>
      <c r="H128" s="8">
        <v>412</v>
      </c>
    </row>
    <row r="129" spans="2:8">
      <c r="B129" s="7">
        <v>2005</v>
      </c>
      <c r="C129" s="7" t="s">
        <v>117</v>
      </c>
      <c r="D129" s="7" t="s">
        <v>118</v>
      </c>
      <c r="E129" s="7" t="s">
        <v>10</v>
      </c>
      <c r="F129" s="7" t="s">
        <v>94</v>
      </c>
      <c r="G129" s="7" t="s">
        <v>95</v>
      </c>
      <c r="H129" s="8">
        <v>187</v>
      </c>
    </row>
    <row r="130" spans="2:8">
      <c r="B130" s="7">
        <v>2005</v>
      </c>
      <c r="C130" s="7" t="s">
        <v>117</v>
      </c>
      <c r="D130" s="7" t="s">
        <v>119</v>
      </c>
      <c r="E130" s="7" t="s">
        <v>9</v>
      </c>
      <c r="F130" s="7" t="s">
        <v>92</v>
      </c>
      <c r="G130" s="7" t="s">
        <v>93</v>
      </c>
      <c r="H130" s="8">
        <v>183</v>
      </c>
    </row>
    <row r="131" spans="2:8">
      <c r="B131" s="7">
        <v>2005</v>
      </c>
      <c r="C131" s="7" t="s">
        <v>117</v>
      </c>
      <c r="D131" s="7" t="s">
        <v>119</v>
      </c>
      <c r="E131" s="7" t="s">
        <v>9</v>
      </c>
      <c r="F131" s="7" t="s">
        <v>92</v>
      </c>
      <c r="G131" s="7" t="s">
        <v>95</v>
      </c>
      <c r="H131" s="8">
        <v>89</v>
      </c>
    </row>
    <row r="132" spans="2:8">
      <c r="B132" s="7">
        <v>2005</v>
      </c>
      <c r="C132" s="7" t="s">
        <v>117</v>
      </c>
      <c r="D132" s="7" t="s">
        <v>119</v>
      </c>
      <c r="E132" s="7" t="s">
        <v>9</v>
      </c>
      <c r="F132" s="7" t="s">
        <v>94</v>
      </c>
      <c r="G132" s="7" t="s">
        <v>93</v>
      </c>
      <c r="H132" s="8">
        <v>6070</v>
      </c>
    </row>
    <row r="133" spans="2:8">
      <c r="B133" s="7">
        <v>2005</v>
      </c>
      <c r="C133" s="7" t="s">
        <v>117</v>
      </c>
      <c r="D133" s="7" t="s">
        <v>119</v>
      </c>
      <c r="E133" s="7" t="s">
        <v>9</v>
      </c>
      <c r="F133" s="7" t="s">
        <v>94</v>
      </c>
      <c r="G133" s="7" t="s">
        <v>95</v>
      </c>
      <c r="H133" s="8">
        <v>3164</v>
      </c>
    </row>
    <row r="134" spans="2:8">
      <c r="B134" s="7">
        <v>2005</v>
      </c>
      <c r="C134" s="7" t="s">
        <v>117</v>
      </c>
      <c r="D134" s="7" t="s">
        <v>119</v>
      </c>
      <c r="E134" s="7" t="s">
        <v>10</v>
      </c>
      <c r="F134" s="7" t="s">
        <v>94</v>
      </c>
      <c r="G134" s="7" t="s">
        <v>93</v>
      </c>
      <c r="H134" s="8">
        <v>3716</v>
      </c>
    </row>
    <row r="135" spans="2:8">
      <c r="B135" s="7">
        <v>2005</v>
      </c>
      <c r="C135" s="7" t="s">
        <v>117</v>
      </c>
      <c r="D135" s="7" t="s">
        <v>119</v>
      </c>
      <c r="E135" s="7" t="s">
        <v>10</v>
      </c>
      <c r="F135" s="7" t="s">
        <v>94</v>
      </c>
      <c r="G135" s="7" t="s">
        <v>95</v>
      </c>
      <c r="H135" s="8">
        <v>2035</v>
      </c>
    </row>
    <row r="136" spans="2:8">
      <c r="B136" s="7">
        <v>2005</v>
      </c>
      <c r="C136" s="7" t="s">
        <v>117</v>
      </c>
      <c r="D136" s="7" t="s">
        <v>120</v>
      </c>
      <c r="E136" s="7" t="s">
        <v>9</v>
      </c>
      <c r="F136" s="7" t="s">
        <v>92</v>
      </c>
      <c r="G136" s="7" t="s">
        <v>93</v>
      </c>
      <c r="H136" s="8">
        <v>6</v>
      </c>
    </row>
    <row r="137" spans="2:8">
      <c r="B137" s="7">
        <v>2005</v>
      </c>
      <c r="C137" s="7" t="s">
        <v>117</v>
      </c>
      <c r="D137" s="7" t="s">
        <v>120</v>
      </c>
      <c r="E137" s="7" t="s">
        <v>9</v>
      </c>
      <c r="F137" s="7" t="s">
        <v>92</v>
      </c>
      <c r="G137" s="7" t="s">
        <v>95</v>
      </c>
      <c r="H137" s="8">
        <v>6</v>
      </c>
    </row>
    <row r="138" spans="2:8">
      <c r="B138" s="7">
        <v>2005</v>
      </c>
      <c r="C138" s="7" t="s">
        <v>117</v>
      </c>
      <c r="D138" s="7" t="s">
        <v>120</v>
      </c>
      <c r="E138" s="7" t="s">
        <v>9</v>
      </c>
      <c r="F138" s="7" t="s">
        <v>94</v>
      </c>
      <c r="G138" s="7" t="s">
        <v>93</v>
      </c>
      <c r="H138" s="8">
        <v>3399</v>
      </c>
    </row>
    <row r="139" spans="2:8">
      <c r="B139" s="7">
        <v>2005</v>
      </c>
      <c r="C139" s="7" t="s">
        <v>117</v>
      </c>
      <c r="D139" s="7" t="s">
        <v>120</v>
      </c>
      <c r="E139" s="7" t="s">
        <v>9</v>
      </c>
      <c r="F139" s="7" t="s">
        <v>94</v>
      </c>
      <c r="G139" s="7" t="s">
        <v>95</v>
      </c>
      <c r="H139" s="8">
        <v>2257</v>
      </c>
    </row>
    <row r="140" spans="2:8">
      <c r="B140" s="7">
        <v>2005</v>
      </c>
      <c r="C140" s="7" t="s">
        <v>117</v>
      </c>
      <c r="D140" s="7" t="s">
        <v>120</v>
      </c>
      <c r="E140" s="7" t="s">
        <v>10</v>
      </c>
      <c r="F140" s="7" t="s">
        <v>94</v>
      </c>
      <c r="G140" s="7" t="s">
        <v>93</v>
      </c>
      <c r="H140" s="8">
        <v>779</v>
      </c>
    </row>
    <row r="141" spans="2:8">
      <c r="B141" s="7">
        <v>2005</v>
      </c>
      <c r="C141" s="7" t="s">
        <v>117</v>
      </c>
      <c r="D141" s="7" t="s">
        <v>120</v>
      </c>
      <c r="E141" s="7" t="s">
        <v>10</v>
      </c>
      <c r="F141" s="7" t="s">
        <v>94</v>
      </c>
      <c r="G141" s="7" t="s">
        <v>95</v>
      </c>
      <c r="H141" s="8">
        <v>399</v>
      </c>
    </row>
    <row r="142" spans="2:8">
      <c r="B142" s="7">
        <v>2005</v>
      </c>
      <c r="C142" s="7" t="s">
        <v>117</v>
      </c>
      <c r="D142" s="7" t="s">
        <v>121</v>
      </c>
      <c r="E142" s="7" t="s">
        <v>9</v>
      </c>
      <c r="F142" s="7" t="s">
        <v>92</v>
      </c>
      <c r="G142" s="7" t="s">
        <v>93</v>
      </c>
      <c r="H142" s="8">
        <v>55</v>
      </c>
    </row>
    <row r="143" spans="2:8">
      <c r="B143" s="7">
        <v>2005</v>
      </c>
      <c r="C143" s="7" t="s">
        <v>117</v>
      </c>
      <c r="D143" s="7" t="s">
        <v>121</v>
      </c>
      <c r="E143" s="7" t="s">
        <v>9</v>
      </c>
      <c r="F143" s="7" t="s">
        <v>92</v>
      </c>
      <c r="G143" s="7" t="s">
        <v>95</v>
      </c>
      <c r="H143" s="8">
        <v>29</v>
      </c>
    </row>
    <row r="144" spans="2:8">
      <c r="B144" s="7">
        <v>2005</v>
      </c>
      <c r="C144" s="7" t="s">
        <v>117</v>
      </c>
      <c r="D144" s="7" t="s">
        <v>121</v>
      </c>
      <c r="E144" s="7" t="s">
        <v>9</v>
      </c>
      <c r="F144" s="7" t="s">
        <v>94</v>
      </c>
      <c r="G144" s="7" t="s">
        <v>93</v>
      </c>
      <c r="H144" s="8">
        <v>12180</v>
      </c>
    </row>
    <row r="145" spans="2:8">
      <c r="B145" s="7">
        <v>2005</v>
      </c>
      <c r="C145" s="7" t="s">
        <v>117</v>
      </c>
      <c r="D145" s="7" t="s">
        <v>121</v>
      </c>
      <c r="E145" s="7" t="s">
        <v>9</v>
      </c>
      <c r="F145" s="7" t="s">
        <v>94</v>
      </c>
      <c r="G145" s="7" t="s">
        <v>95</v>
      </c>
      <c r="H145" s="8">
        <v>7657</v>
      </c>
    </row>
    <row r="146" spans="2:8">
      <c r="B146" s="7">
        <v>2005</v>
      </c>
      <c r="C146" s="7" t="s">
        <v>117</v>
      </c>
      <c r="D146" s="7" t="s">
        <v>121</v>
      </c>
      <c r="E146" s="7" t="s">
        <v>10</v>
      </c>
      <c r="F146" s="7" t="s">
        <v>92</v>
      </c>
      <c r="G146" s="7" t="s">
        <v>95</v>
      </c>
      <c r="H146" s="8">
        <v>1</v>
      </c>
    </row>
    <row r="147" spans="2:8">
      <c r="B147" s="7">
        <v>2005</v>
      </c>
      <c r="C147" s="7" t="s">
        <v>117</v>
      </c>
      <c r="D147" s="7" t="s">
        <v>121</v>
      </c>
      <c r="E147" s="7" t="s">
        <v>10</v>
      </c>
      <c r="F147" s="7" t="s">
        <v>94</v>
      </c>
      <c r="G147" s="7" t="s">
        <v>93</v>
      </c>
      <c r="H147" s="8">
        <v>5073</v>
      </c>
    </row>
    <row r="148" spans="2:8">
      <c r="B148" s="7">
        <v>2005</v>
      </c>
      <c r="C148" s="7" t="s">
        <v>117</v>
      </c>
      <c r="D148" s="7" t="s">
        <v>121</v>
      </c>
      <c r="E148" s="7" t="s">
        <v>10</v>
      </c>
      <c r="F148" s="7" t="s">
        <v>94</v>
      </c>
      <c r="G148" s="7" t="s">
        <v>95</v>
      </c>
      <c r="H148" s="8">
        <v>2955</v>
      </c>
    </row>
    <row r="149" spans="2:8">
      <c r="B149" s="7">
        <v>2005</v>
      </c>
      <c r="C149" s="7" t="s">
        <v>122</v>
      </c>
      <c r="D149" s="7" t="s">
        <v>123</v>
      </c>
      <c r="E149" s="7" t="s">
        <v>9</v>
      </c>
      <c r="F149" s="7" t="s">
        <v>92</v>
      </c>
      <c r="G149" s="7" t="s">
        <v>93</v>
      </c>
      <c r="H149" s="8">
        <v>316</v>
      </c>
    </row>
    <row r="150" spans="2:8">
      <c r="B150" s="7">
        <v>2005</v>
      </c>
      <c r="C150" s="7" t="s">
        <v>122</v>
      </c>
      <c r="D150" s="7" t="s">
        <v>123</v>
      </c>
      <c r="E150" s="7" t="s">
        <v>9</v>
      </c>
      <c r="F150" s="7" t="s">
        <v>92</v>
      </c>
      <c r="G150" s="7" t="s">
        <v>95</v>
      </c>
      <c r="H150" s="8">
        <v>106</v>
      </c>
    </row>
    <row r="151" spans="2:8">
      <c r="B151" s="7">
        <v>2005</v>
      </c>
      <c r="C151" s="7" t="s">
        <v>122</v>
      </c>
      <c r="D151" s="7" t="s">
        <v>123</v>
      </c>
      <c r="E151" s="7" t="s">
        <v>9</v>
      </c>
      <c r="F151" s="7" t="s">
        <v>94</v>
      </c>
      <c r="G151" s="7" t="s">
        <v>93</v>
      </c>
      <c r="H151" s="8">
        <v>2815</v>
      </c>
    </row>
    <row r="152" spans="2:8">
      <c r="B152" s="7">
        <v>2005</v>
      </c>
      <c r="C152" s="7" t="s">
        <v>122</v>
      </c>
      <c r="D152" s="7" t="s">
        <v>123</v>
      </c>
      <c r="E152" s="7" t="s">
        <v>9</v>
      </c>
      <c r="F152" s="7" t="s">
        <v>94</v>
      </c>
      <c r="G152" s="7" t="s">
        <v>95</v>
      </c>
      <c r="H152" s="8">
        <v>1867</v>
      </c>
    </row>
    <row r="153" spans="2:8">
      <c r="B153" s="7">
        <v>2005</v>
      </c>
      <c r="C153" s="7" t="s">
        <v>122</v>
      </c>
      <c r="D153" s="7" t="s">
        <v>123</v>
      </c>
      <c r="E153" s="7" t="s">
        <v>10</v>
      </c>
      <c r="F153" s="7" t="s">
        <v>92</v>
      </c>
      <c r="G153" s="7" t="s">
        <v>93</v>
      </c>
      <c r="H153" s="8">
        <v>42</v>
      </c>
    </row>
    <row r="154" spans="2:8">
      <c r="B154" s="7">
        <v>2005</v>
      </c>
      <c r="C154" s="7" t="s">
        <v>122</v>
      </c>
      <c r="D154" s="7" t="s">
        <v>123</v>
      </c>
      <c r="E154" s="7" t="s">
        <v>10</v>
      </c>
      <c r="F154" s="7" t="s">
        <v>92</v>
      </c>
      <c r="G154" s="7" t="s">
        <v>95</v>
      </c>
      <c r="H154" s="8">
        <v>30</v>
      </c>
    </row>
    <row r="155" spans="2:8">
      <c r="B155" s="7">
        <v>2005</v>
      </c>
      <c r="C155" s="7" t="s">
        <v>122</v>
      </c>
      <c r="D155" s="7" t="s">
        <v>123</v>
      </c>
      <c r="E155" s="7" t="s">
        <v>10</v>
      </c>
      <c r="F155" s="7" t="s">
        <v>94</v>
      </c>
      <c r="G155" s="7" t="s">
        <v>93</v>
      </c>
      <c r="H155" s="8">
        <v>1436</v>
      </c>
    </row>
    <row r="156" spans="2:8">
      <c r="B156" s="7">
        <v>2005</v>
      </c>
      <c r="C156" s="7" t="s">
        <v>122</v>
      </c>
      <c r="D156" s="7" t="s">
        <v>123</v>
      </c>
      <c r="E156" s="7" t="s">
        <v>10</v>
      </c>
      <c r="F156" s="7" t="s">
        <v>94</v>
      </c>
      <c r="G156" s="7" t="s">
        <v>95</v>
      </c>
      <c r="H156" s="8">
        <v>924</v>
      </c>
    </row>
    <row r="157" spans="2:8">
      <c r="B157" s="7">
        <v>2005</v>
      </c>
      <c r="C157" s="7" t="s">
        <v>122</v>
      </c>
      <c r="D157" s="7" t="s">
        <v>124</v>
      </c>
      <c r="E157" s="7" t="s">
        <v>9</v>
      </c>
      <c r="F157" s="7" t="s">
        <v>92</v>
      </c>
      <c r="G157" s="7" t="s">
        <v>93</v>
      </c>
      <c r="H157" s="8">
        <v>122</v>
      </c>
    </row>
    <row r="158" spans="2:8">
      <c r="B158" s="7">
        <v>2005</v>
      </c>
      <c r="C158" s="7" t="s">
        <v>122</v>
      </c>
      <c r="D158" s="7" t="s">
        <v>124</v>
      </c>
      <c r="E158" s="7" t="s">
        <v>9</v>
      </c>
      <c r="F158" s="7" t="s">
        <v>92</v>
      </c>
      <c r="G158" s="7" t="s">
        <v>95</v>
      </c>
      <c r="H158" s="8">
        <v>25</v>
      </c>
    </row>
    <row r="159" spans="2:8">
      <c r="B159" s="7">
        <v>2005</v>
      </c>
      <c r="C159" s="7" t="s">
        <v>122</v>
      </c>
      <c r="D159" s="7" t="s">
        <v>124</v>
      </c>
      <c r="E159" s="7" t="s">
        <v>9</v>
      </c>
      <c r="F159" s="7" t="s">
        <v>94</v>
      </c>
      <c r="G159" s="7" t="s">
        <v>93</v>
      </c>
      <c r="H159" s="8">
        <v>3831</v>
      </c>
    </row>
    <row r="160" spans="2:8">
      <c r="B160" s="7">
        <v>2005</v>
      </c>
      <c r="C160" s="7" t="s">
        <v>122</v>
      </c>
      <c r="D160" s="7" t="s">
        <v>124</v>
      </c>
      <c r="E160" s="7" t="s">
        <v>9</v>
      </c>
      <c r="F160" s="7" t="s">
        <v>94</v>
      </c>
      <c r="G160" s="7" t="s">
        <v>95</v>
      </c>
      <c r="H160" s="8">
        <v>2052</v>
      </c>
    </row>
    <row r="161" spans="2:8">
      <c r="B161" s="7">
        <v>2005</v>
      </c>
      <c r="C161" s="7" t="s">
        <v>122</v>
      </c>
      <c r="D161" s="7" t="s">
        <v>124</v>
      </c>
      <c r="E161" s="7" t="s">
        <v>10</v>
      </c>
      <c r="F161" s="7" t="s">
        <v>94</v>
      </c>
      <c r="G161" s="7" t="s">
        <v>93</v>
      </c>
      <c r="H161" s="8">
        <v>1195</v>
      </c>
    </row>
    <row r="162" spans="2:8">
      <c r="B162" s="7">
        <v>2005</v>
      </c>
      <c r="C162" s="7" t="s">
        <v>122</v>
      </c>
      <c r="D162" s="7" t="s">
        <v>124</v>
      </c>
      <c r="E162" s="7" t="s">
        <v>10</v>
      </c>
      <c r="F162" s="7" t="s">
        <v>94</v>
      </c>
      <c r="G162" s="7" t="s">
        <v>95</v>
      </c>
      <c r="H162" s="8">
        <v>577</v>
      </c>
    </row>
    <row r="163" spans="2:8">
      <c r="B163" s="7">
        <v>2005</v>
      </c>
      <c r="C163" s="7" t="s">
        <v>122</v>
      </c>
      <c r="D163" s="7" t="s">
        <v>125</v>
      </c>
      <c r="E163" s="7" t="s">
        <v>9</v>
      </c>
      <c r="F163" s="7" t="s">
        <v>92</v>
      </c>
      <c r="G163" s="7" t="s">
        <v>93</v>
      </c>
      <c r="H163" s="8">
        <v>57</v>
      </c>
    </row>
    <row r="164" spans="2:8">
      <c r="B164" s="7">
        <v>2005</v>
      </c>
      <c r="C164" s="7" t="s">
        <v>122</v>
      </c>
      <c r="D164" s="7" t="s">
        <v>125</v>
      </c>
      <c r="E164" s="7" t="s">
        <v>9</v>
      </c>
      <c r="F164" s="7" t="s">
        <v>92</v>
      </c>
      <c r="G164" s="7" t="s">
        <v>95</v>
      </c>
      <c r="H164" s="8">
        <v>19</v>
      </c>
    </row>
    <row r="165" spans="2:8">
      <c r="B165" s="7">
        <v>2005</v>
      </c>
      <c r="C165" s="7" t="s">
        <v>122</v>
      </c>
      <c r="D165" s="7" t="s">
        <v>125</v>
      </c>
      <c r="E165" s="7" t="s">
        <v>9</v>
      </c>
      <c r="F165" s="7" t="s">
        <v>94</v>
      </c>
      <c r="G165" s="7" t="s">
        <v>93</v>
      </c>
      <c r="H165" s="8">
        <v>625</v>
      </c>
    </row>
    <row r="166" spans="2:8">
      <c r="B166" s="7">
        <v>2005</v>
      </c>
      <c r="C166" s="7" t="s">
        <v>122</v>
      </c>
      <c r="D166" s="7" t="s">
        <v>125</v>
      </c>
      <c r="E166" s="7" t="s">
        <v>9</v>
      </c>
      <c r="F166" s="7" t="s">
        <v>94</v>
      </c>
      <c r="G166" s="7" t="s">
        <v>95</v>
      </c>
      <c r="H166" s="8">
        <v>353</v>
      </c>
    </row>
    <row r="167" spans="2:8">
      <c r="B167" s="7">
        <v>2005</v>
      </c>
      <c r="C167" s="7" t="s">
        <v>122</v>
      </c>
      <c r="D167" s="7" t="s">
        <v>125</v>
      </c>
      <c r="E167" s="7" t="s">
        <v>10</v>
      </c>
      <c r="F167" s="7" t="s">
        <v>92</v>
      </c>
      <c r="G167" s="7" t="s">
        <v>93</v>
      </c>
      <c r="H167" s="8">
        <v>4</v>
      </c>
    </row>
    <row r="168" spans="2:8">
      <c r="B168" s="7">
        <v>2005</v>
      </c>
      <c r="C168" s="7" t="s">
        <v>122</v>
      </c>
      <c r="D168" s="7" t="s">
        <v>125</v>
      </c>
      <c r="E168" s="7" t="s">
        <v>10</v>
      </c>
      <c r="F168" s="7" t="s">
        <v>92</v>
      </c>
      <c r="G168" s="7" t="s">
        <v>95</v>
      </c>
      <c r="H168" s="8">
        <v>1</v>
      </c>
    </row>
    <row r="169" spans="2:8">
      <c r="B169" s="7">
        <v>2005</v>
      </c>
      <c r="C169" s="7" t="s">
        <v>122</v>
      </c>
      <c r="D169" s="7" t="s">
        <v>125</v>
      </c>
      <c r="E169" s="7" t="s">
        <v>10</v>
      </c>
      <c r="F169" s="7" t="s">
        <v>94</v>
      </c>
      <c r="G169" s="7" t="s">
        <v>93</v>
      </c>
      <c r="H169" s="8">
        <v>335</v>
      </c>
    </row>
    <row r="170" spans="2:8">
      <c r="B170" s="7">
        <v>2005</v>
      </c>
      <c r="C170" s="7" t="s">
        <v>122</v>
      </c>
      <c r="D170" s="7" t="s">
        <v>125</v>
      </c>
      <c r="E170" s="7" t="s">
        <v>10</v>
      </c>
      <c r="F170" s="7" t="s">
        <v>94</v>
      </c>
      <c r="G170" s="7" t="s">
        <v>95</v>
      </c>
      <c r="H170" s="8">
        <v>194</v>
      </c>
    </row>
    <row r="171" spans="2:8">
      <c r="B171" s="7">
        <v>2005</v>
      </c>
      <c r="C171" s="7" t="s">
        <v>126</v>
      </c>
      <c r="D171" s="7" t="s">
        <v>127</v>
      </c>
      <c r="E171" s="7" t="s">
        <v>9</v>
      </c>
      <c r="F171" s="7" t="s">
        <v>92</v>
      </c>
      <c r="G171" s="7" t="s">
        <v>93</v>
      </c>
      <c r="H171" s="8">
        <v>10</v>
      </c>
    </row>
    <row r="172" spans="2:8">
      <c r="B172" s="7">
        <v>2005</v>
      </c>
      <c r="C172" s="7" t="s">
        <v>126</v>
      </c>
      <c r="D172" s="7" t="s">
        <v>127</v>
      </c>
      <c r="E172" s="7" t="s">
        <v>9</v>
      </c>
      <c r="F172" s="7" t="s">
        <v>92</v>
      </c>
      <c r="G172" s="7" t="s">
        <v>95</v>
      </c>
      <c r="H172" s="8">
        <v>3</v>
      </c>
    </row>
    <row r="173" spans="2:8">
      <c r="B173" s="7">
        <v>2005</v>
      </c>
      <c r="C173" s="7" t="s">
        <v>126</v>
      </c>
      <c r="D173" s="7" t="s">
        <v>127</v>
      </c>
      <c r="E173" s="7" t="s">
        <v>9</v>
      </c>
      <c r="F173" s="7" t="s">
        <v>94</v>
      </c>
      <c r="G173" s="7" t="s">
        <v>93</v>
      </c>
      <c r="H173" s="8">
        <v>88</v>
      </c>
    </row>
    <row r="174" spans="2:8">
      <c r="B174" s="7">
        <v>2005</v>
      </c>
      <c r="C174" s="7" t="s">
        <v>126</v>
      </c>
      <c r="D174" s="7" t="s">
        <v>127</v>
      </c>
      <c r="E174" s="7" t="s">
        <v>9</v>
      </c>
      <c r="F174" s="7" t="s">
        <v>94</v>
      </c>
      <c r="G174" s="7" t="s">
        <v>95</v>
      </c>
      <c r="H174" s="8">
        <v>65</v>
      </c>
    </row>
    <row r="175" spans="2:8">
      <c r="B175" s="7">
        <v>2005</v>
      </c>
      <c r="C175" s="7" t="s">
        <v>126</v>
      </c>
      <c r="D175" s="7" t="s">
        <v>127</v>
      </c>
      <c r="E175" s="7" t="s">
        <v>10</v>
      </c>
      <c r="F175" s="7" t="s">
        <v>94</v>
      </c>
      <c r="G175" s="7" t="s">
        <v>93</v>
      </c>
      <c r="H175" s="8">
        <v>59</v>
      </c>
    </row>
    <row r="176" spans="2:8">
      <c r="B176" s="7">
        <v>2005</v>
      </c>
      <c r="C176" s="7" t="s">
        <v>126</v>
      </c>
      <c r="D176" s="7" t="s">
        <v>127</v>
      </c>
      <c r="E176" s="7" t="s">
        <v>10</v>
      </c>
      <c r="F176" s="7" t="s">
        <v>94</v>
      </c>
      <c r="G176" s="7" t="s">
        <v>95</v>
      </c>
      <c r="H176" s="8">
        <v>41</v>
      </c>
    </row>
    <row r="177" spans="2:8">
      <c r="B177" s="7">
        <v>2015</v>
      </c>
      <c r="C177" s="7" t="s">
        <v>90</v>
      </c>
      <c r="D177" s="7" t="s">
        <v>91</v>
      </c>
      <c r="E177" s="7" t="s">
        <v>9</v>
      </c>
      <c r="F177" s="7" t="s">
        <v>92</v>
      </c>
      <c r="G177" s="7" t="s">
        <v>93</v>
      </c>
      <c r="H177" s="8">
        <v>192</v>
      </c>
    </row>
    <row r="178" spans="2:8">
      <c r="B178" s="7">
        <v>2015</v>
      </c>
      <c r="C178" s="7" t="s">
        <v>90</v>
      </c>
      <c r="D178" s="7" t="s">
        <v>91</v>
      </c>
      <c r="E178" s="7" t="s">
        <v>9</v>
      </c>
      <c r="F178" s="7" t="s">
        <v>92</v>
      </c>
      <c r="G178" s="7" t="s">
        <v>95</v>
      </c>
      <c r="H178" s="8">
        <v>165</v>
      </c>
    </row>
    <row r="179" spans="2:8">
      <c r="B179" s="7">
        <v>2015</v>
      </c>
      <c r="C179" s="7" t="s">
        <v>90</v>
      </c>
      <c r="D179" s="7" t="s">
        <v>91</v>
      </c>
      <c r="E179" s="7" t="s">
        <v>9</v>
      </c>
      <c r="F179" s="7" t="s">
        <v>94</v>
      </c>
      <c r="G179" s="7" t="s">
        <v>93</v>
      </c>
      <c r="H179" s="8">
        <v>125</v>
      </c>
    </row>
    <row r="180" spans="2:8">
      <c r="B180" s="7">
        <v>2015</v>
      </c>
      <c r="C180" s="7" t="s">
        <v>90</v>
      </c>
      <c r="D180" s="7" t="s">
        <v>91</v>
      </c>
      <c r="E180" s="7" t="s">
        <v>9</v>
      </c>
      <c r="F180" s="7" t="s">
        <v>94</v>
      </c>
      <c r="G180" s="7" t="s">
        <v>95</v>
      </c>
      <c r="H180" s="8">
        <v>104</v>
      </c>
    </row>
    <row r="181" spans="2:8">
      <c r="B181" s="7">
        <v>2015</v>
      </c>
      <c r="C181" s="7" t="s">
        <v>90</v>
      </c>
      <c r="D181" s="7" t="s">
        <v>91</v>
      </c>
      <c r="E181" s="7" t="s">
        <v>10</v>
      </c>
      <c r="F181" s="7" t="s">
        <v>92</v>
      </c>
      <c r="G181" s="7" t="s">
        <v>93</v>
      </c>
      <c r="H181" s="8">
        <v>9</v>
      </c>
    </row>
    <row r="182" spans="2:8">
      <c r="B182" s="7">
        <v>2015</v>
      </c>
      <c r="C182" s="7" t="s">
        <v>90</v>
      </c>
      <c r="D182" s="7" t="s">
        <v>91</v>
      </c>
      <c r="E182" s="7" t="s">
        <v>10</v>
      </c>
      <c r="F182" s="7" t="s">
        <v>92</v>
      </c>
      <c r="G182" s="7" t="s">
        <v>95</v>
      </c>
      <c r="H182" s="8">
        <v>7</v>
      </c>
    </row>
    <row r="183" spans="2:8">
      <c r="B183" s="7">
        <v>2015</v>
      </c>
      <c r="C183" s="7" t="s">
        <v>90</v>
      </c>
      <c r="D183" s="7" t="s">
        <v>91</v>
      </c>
      <c r="E183" s="7" t="s">
        <v>10</v>
      </c>
      <c r="F183" s="7" t="s">
        <v>94</v>
      </c>
      <c r="G183" s="7" t="s">
        <v>93</v>
      </c>
      <c r="H183" s="8">
        <v>238</v>
      </c>
    </row>
    <row r="184" spans="2:8">
      <c r="B184" s="7">
        <v>2015</v>
      </c>
      <c r="C184" s="7" t="s">
        <v>90</v>
      </c>
      <c r="D184" s="7" t="s">
        <v>91</v>
      </c>
      <c r="E184" s="7" t="s">
        <v>10</v>
      </c>
      <c r="F184" s="7" t="s">
        <v>94</v>
      </c>
      <c r="G184" s="7" t="s">
        <v>95</v>
      </c>
      <c r="H184" s="8">
        <v>191</v>
      </c>
    </row>
    <row r="185" spans="2:8">
      <c r="B185" s="7">
        <v>2015</v>
      </c>
      <c r="C185" s="7" t="s">
        <v>90</v>
      </c>
      <c r="D185" s="7" t="s">
        <v>96</v>
      </c>
      <c r="E185" s="7" t="s">
        <v>9</v>
      </c>
      <c r="F185" s="7" t="s">
        <v>92</v>
      </c>
      <c r="G185" s="7" t="s">
        <v>93</v>
      </c>
      <c r="H185" s="8">
        <v>345</v>
      </c>
    </row>
    <row r="186" spans="2:8">
      <c r="B186" s="7">
        <v>2015</v>
      </c>
      <c r="C186" s="7" t="s">
        <v>90</v>
      </c>
      <c r="D186" s="7" t="s">
        <v>96</v>
      </c>
      <c r="E186" s="7" t="s">
        <v>9</v>
      </c>
      <c r="F186" s="7" t="s">
        <v>92</v>
      </c>
      <c r="G186" s="7" t="s">
        <v>95</v>
      </c>
      <c r="H186" s="8">
        <v>292</v>
      </c>
    </row>
    <row r="187" spans="2:8">
      <c r="B187" s="7">
        <v>2015</v>
      </c>
      <c r="C187" s="7" t="s">
        <v>90</v>
      </c>
      <c r="D187" s="7" t="s">
        <v>96</v>
      </c>
      <c r="E187" s="7" t="s">
        <v>9</v>
      </c>
      <c r="F187" s="7" t="s">
        <v>94</v>
      </c>
      <c r="G187" s="7" t="s">
        <v>93</v>
      </c>
      <c r="H187" s="8">
        <v>1377</v>
      </c>
    </row>
    <row r="188" spans="2:8">
      <c r="B188" s="7">
        <v>2015</v>
      </c>
      <c r="C188" s="7" t="s">
        <v>90</v>
      </c>
      <c r="D188" s="7" t="s">
        <v>96</v>
      </c>
      <c r="E188" s="7" t="s">
        <v>9</v>
      </c>
      <c r="F188" s="7" t="s">
        <v>94</v>
      </c>
      <c r="G188" s="7" t="s">
        <v>95</v>
      </c>
      <c r="H188" s="8">
        <v>1474</v>
      </c>
    </row>
    <row r="189" spans="2:8">
      <c r="B189" s="7">
        <v>2015</v>
      </c>
      <c r="C189" s="7" t="s">
        <v>90</v>
      </c>
      <c r="D189" s="7" t="s">
        <v>96</v>
      </c>
      <c r="E189" s="7" t="s">
        <v>10</v>
      </c>
      <c r="F189" s="7" t="s">
        <v>92</v>
      </c>
      <c r="G189" s="7" t="s">
        <v>93</v>
      </c>
      <c r="H189" s="8">
        <v>2</v>
      </c>
    </row>
    <row r="190" spans="2:8">
      <c r="B190" s="7">
        <v>2015</v>
      </c>
      <c r="C190" s="7" t="s">
        <v>90</v>
      </c>
      <c r="D190" s="7" t="s">
        <v>96</v>
      </c>
      <c r="E190" s="7" t="s">
        <v>10</v>
      </c>
      <c r="F190" s="7" t="s">
        <v>92</v>
      </c>
      <c r="G190" s="7" t="s">
        <v>95</v>
      </c>
      <c r="H190" s="8">
        <v>5</v>
      </c>
    </row>
    <row r="191" spans="2:8">
      <c r="B191" s="7">
        <v>2015</v>
      </c>
      <c r="C191" s="7" t="s">
        <v>90</v>
      </c>
      <c r="D191" s="7" t="s">
        <v>96</v>
      </c>
      <c r="E191" s="7" t="s">
        <v>10</v>
      </c>
      <c r="F191" s="7" t="s">
        <v>94</v>
      </c>
      <c r="G191" s="7" t="s">
        <v>93</v>
      </c>
      <c r="H191" s="8">
        <v>675</v>
      </c>
    </row>
    <row r="192" spans="2:8">
      <c r="B192" s="7">
        <v>2015</v>
      </c>
      <c r="C192" s="7" t="s">
        <v>90</v>
      </c>
      <c r="D192" s="7" t="s">
        <v>96</v>
      </c>
      <c r="E192" s="7" t="s">
        <v>10</v>
      </c>
      <c r="F192" s="7" t="s">
        <v>94</v>
      </c>
      <c r="G192" s="7" t="s">
        <v>95</v>
      </c>
      <c r="H192" s="8">
        <v>577</v>
      </c>
    </row>
    <row r="193" spans="2:8">
      <c r="B193" s="7">
        <v>2015</v>
      </c>
      <c r="C193" s="7" t="s">
        <v>90</v>
      </c>
      <c r="D193" s="7" t="s">
        <v>97</v>
      </c>
      <c r="E193" s="7" t="s">
        <v>9</v>
      </c>
      <c r="F193" s="7" t="s">
        <v>92</v>
      </c>
      <c r="G193" s="7" t="s">
        <v>93</v>
      </c>
      <c r="H193" s="8">
        <v>115</v>
      </c>
    </row>
    <row r="194" spans="2:8">
      <c r="B194" s="7">
        <v>2015</v>
      </c>
      <c r="C194" s="7" t="s">
        <v>90</v>
      </c>
      <c r="D194" s="7" t="s">
        <v>97</v>
      </c>
      <c r="E194" s="7" t="s">
        <v>9</v>
      </c>
      <c r="F194" s="7" t="s">
        <v>92</v>
      </c>
      <c r="G194" s="7" t="s">
        <v>95</v>
      </c>
      <c r="H194" s="8">
        <v>108</v>
      </c>
    </row>
    <row r="195" spans="2:8">
      <c r="B195" s="7">
        <v>2015</v>
      </c>
      <c r="C195" s="7" t="s">
        <v>90</v>
      </c>
      <c r="D195" s="7" t="s">
        <v>97</v>
      </c>
      <c r="E195" s="7" t="s">
        <v>9</v>
      </c>
      <c r="F195" s="7" t="s">
        <v>94</v>
      </c>
      <c r="G195" s="7" t="s">
        <v>93</v>
      </c>
      <c r="H195" s="8">
        <v>357</v>
      </c>
    </row>
    <row r="196" spans="2:8">
      <c r="B196" s="7">
        <v>2015</v>
      </c>
      <c r="C196" s="7" t="s">
        <v>90</v>
      </c>
      <c r="D196" s="7" t="s">
        <v>97</v>
      </c>
      <c r="E196" s="7" t="s">
        <v>9</v>
      </c>
      <c r="F196" s="7" t="s">
        <v>94</v>
      </c>
      <c r="G196" s="7" t="s">
        <v>95</v>
      </c>
      <c r="H196" s="8">
        <v>304</v>
      </c>
    </row>
    <row r="197" spans="2:8">
      <c r="B197" s="7">
        <v>2015</v>
      </c>
      <c r="C197" s="7" t="s">
        <v>90</v>
      </c>
      <c r="D197" s="7" t="s">
        <v>97</v>
      </c>
      <c r="E197" s="7" t="s">
        <v>10</v>
      </c>
      <c r="F197" s="7" t="s">
        <v>92</v>
      </c>
      <c r="G197" s="7" t="s">
        <v>93</v>
      </c>
      <c r="H197" s="8">
        <v>20</v>
      </c>
    </row>
    <row r="198" spans="2:8">
      <c r="B198" s="7">
        <v>2015</v>
      </c>
      <c r="C198" s="7" t="s">
        <v>90</v>
      </c>
      <c r="D198" s="7" t="s">
        <v>97</v>
      </c>
      <c r="E198" s="7" t="s">
        <v>10</v>
      </c>
      <c r="F198" s="7" t="s">
        <v>92</v>
      </c>
      <c r="G198" s="7" t="s">
        <v>95</v>
      </c>
      <c r="H198" s="8">
        <v>12</v>
      </c>
    </row>
    <row r="199" spans="2:8">
      <c r="B199" s="7">
        <v>2015</v>
      </c>
      <c r="C199" s="7" t="s">
        <v>90</v>
      </c>
      <c r="D199" s="7" t="s">
        <v>97</v>
      </c>
      <c r="E199" s="7" t="s">
        <v>10</v>
      </c>
      <c r="F199" s="7" t="s">
        <v>94</v>
      </c>
      <c r="G199" s="7" t="s">
        <v>93</v>
      </c>
      <c r="H199" s="8">
        <v>40</v>
      </c>
    </row>
    <row r="200" spans="2:8">
      <c r="B200" s="7">
        <v>2015</v>
      </c>
      <c r="C200" s="7" t="s">
        <v>90</v>
      </c>
      <c r="D200" s="7" t="s">
        <v>97</v>
      </c>
      <c r="E200" s="7" t="s">
        <v>10</v>
      </c>
      <c r="F200" s="7" t="s">
        <v>94</v>
      </c>
      <c r="G200" s="7" t="s">
        <v>95</v>
      </c>
      <c r="H200" s="8">
        <v>16</v>
      </c>
    </row>
    <row r="201" spans="2:8">
      <c r="B201" s="7">
        <v>2015</v>
      </c>
      <c r="C201" s="7" t="s">
        <v>90</v>
      </c>
      <c r="D201" s="7" t="s">
        <v>98</v>
      </c>
      <c r="E201" s="7" t="s">
        <v>9</v>
      </c>
      <c r="F201" s="7" t="s">
        <v>92</v>
      </c>
      <c r="G201" s="7" t="s">
        <v>93</v>
      </c>
      <c r="H201" s="8">
        <v>1583</v>
      </c>
    </row>
    <row r="202" spans="2:8">
      <c r="B202" s="7">
        <v>2015</v>
      </c>
      <c r="C202" s="7" t="s">
        <v>90</v>
      </c>
      <c r="D202" s="7" t="s">
        <v>98</v>
      </c>
      <c r="E202" s="7" t="s">
        <v>9</v>
      </c>
      <c r="F202" s="7" t="s">
        <v>92</v>
      </c>
      <c r="G202" s="7" t="s">
        <v>95</v>
      </c>
      <c r="H202" s="8">
        <v>1213</v>
      </c>
    </row>
    <row r="203" spans="2:8">
      <c r="B203" s="7">
        <v>2015</v>
      </c>
      <c r="C203" s="7" t="s">
        <v>90</v>
      </c>
      <c r="D203" s="7" t="s">
        <v>98</v>
      </c>
      <c r="E203" s="7" t="s">
        <v>9</v>
      </c>
      <c r="F203" s="7" t="s">
        <v>94</v>
      </c>
      <c r="G203" s="7" t="s">
        <v>93</v>
      </c>
      <c r="H203" s="8">
        <v>1422</v>
      </c>
    </row>
    <row r="204" spans="2:8">
      <c r="B204" s="7">
        <v>2015</v>
      </c>
      <c r="C204" s="7" t="s">
        <v>90</v>
      </c>
      <c r="D204" s="7" t="s">
        <v>98</v>
      </c>
      <c r="E204" s="7" t="s">
        <v>9</v>
      </c>
      <c r="F204" s="7" t="s">
        <v>94</v>
      </c>
      <c r="G204" s="7" t="s">
        <v>95</v>
      </c>
      <c r="H204" s="8">
        <v>1515</v>
      </c>
    </row>
    <row r="205" spans="2:8">
      <c r="B205" s="7">
        <v>2015</v>
      </c>
      <c r="C205" s="7" t="s">
        <v>90</v>
      </c>
      <c r="D205" s="7" t="s">
        <v>98</v>
      </c>
      <c r="E205" s="7" t="s">
        <v>10</v>
      </c>
      <c r="F205" s="7" t="s">
        <v>92</v>
      </c>
      <c r="G205" s="7" t="s">
        <v>93</v>
      </c>
      <c r="H205" s="8">
        <v>149</v>
      </c>
    </row>
    <row r="206" spans="2:8">
      <c r="B206" s="7">
        <v>2015</v>
      </c>
      <c r="C206" s="7" t="s">
        <v>90</v>
      </c>
      <c r="D206" s="7" t="s">
        <v>98</v>
      </c>
      <c r="E206" s="7" t="s">
        <v>10</v>
      </c>
      <c r="F206" s="7" t="s">
        <v>92</v>
      </c>
      <c r="G206" s="7" t="s">
        <v>95</v>
      </c>
      <c r="H206" s="8">
        <v>98</v>
      </c>
    </row>
    <row r="207" spans="2:8">
      <c r="B207" s="7">
        <v>2015</v>
      </c>
      <c r="C207" s="7" t="s">
        <v>90</v>
      </c>
      <c r="D207" s="7" t="s">
        <v>98</v>
      </c>
      <c r="E207" s="7" t="s">
        <v>10</v>
      </c>
      <c r="F207" s="7" t="s">
        <v>94</v>
      </c>
      <c r="G207" s="7" t="s">
        <v>93</v>
      </c>
      <c r="H207" s="8">
        <v>225</v>
      </c>
    </row>
    <row r="208" spans="2:8">
      <c r="B208" s="7">
        <v>2015</v>
      </c>
      <c r="C208" s="7" t="s">
        <v>90</v>
      </c>
      <c r="D208" s="7" t="s">
        <v>98</v>
      </c>
      <c r="E208" s="7" t="s">
        <v>10</v>
      </c>
      <c r="F208" s="7" t="s">
        <v>94</v>
      </c>
      <c r="G208" s="7" t="s">
        <v>95</v>
      </c>
      <c r="H208" s="8">
        <v>207</v>
      </c>
    </row>
    <row r="209" spans="2:8">
      <c r="B209" s="7">
        <v>2015</v>
      </c>
      <c r="C209" s="7" t="s">
        <v>90</v>
      </c>
      <c r="D209" s="7" t="s">
        <v>99</v>
      </c>
      <c r="E209" s="7" t="s">
        <v>9</v>
      </c>
      <c r="F209" s="7" t="s">
        <v>92</v>
      </c>
      <c r="G209" s="7" t="s">
        <v>93</v>
      </c>
      <c r="H209" s="8">
        <v>604</v>
      </c>
    </row>
    <row r="210" spans="2:8">
      <c r="B210" s="7">
        <v>2015</v>
      </c>
      <c r="C210" s="7" t="s">
        <v>90</v>
      </c>
      <c r="D210" s="7" t="s">
        <v>99</v>
      </c>
      <c r="E210" s="7" t="s">
        <v>9</v>
      </c>
      <c r="F210" s="7" t="s">
        <v>92</v>
      </c>
      <c r="G210" s="7" t="s">
        <v>95</v>
      </c>
      <c r="H210" s="8">
        <v>458</v>
      </c>
    </row>
    <row r="211" spans="2:8">
      <c r="B211" s="7">
        <v>2015</v>
      </c>
      <c r="C211" s="7" t="s">
        <v>90</v>
      </c>
      <c r="D211" s="7" t="s">
        <v>99</v>
      </c>
      <c r="E211" s="7" t="s">
        <v>9</v>
      </c>
      <c r="F211" s="7" t="s">
        <v>94</v>
      </c>
      <c r="G211" s="7" t="s">
        <v>93</v>
      </c>
      <c r="H211" s="8">
        <v>814</v>
      </c>
    </row>
    <row r="212" spans="2:8">
      <c r="B212" s="7">
        <v>2015</v>
      </c>
      <c r="C212" s="7" t="s">
        <v>90</v>
      </c>
      <c r="D212" s="7" t="s">
        <v>99</v>
      </c>
      <c r="E212" s="7" t="s">
        <v>9</v>
      </c>
      <c r="F212" s="7" t="s">
        <v>94</v>
      </c>
      <c r="G212" s="7" t="s">
        <v>95</v>
      </c>
      <c r="H212" s="8">
        <v>706</v>
      </c>
    </row>
    <row r="213" spans="2:8">
      <c r="B213" s="7">
        <v>2015</v>
      </c>
      <c r="C213" s="7" t="s">
        <v>90</v>
      </c>
      <c r="D213" s="7" t="s">
        <v>99</v>
      </c>
      <c r="E213" s="7" t="s">
        <v>10</v>
      </c>
      <c r="F213" s="7" t="s">
        <v>92</v>
      </c>
      <c r="G213" s="7" t="s">
        <v>93</v>
      </c>
      <c r="H213" s="8">
        <v>60</v>
      </c>
    </row>
    <row r="214" spans="2:8">
      <c r="B214" s="7">
        <v>2015</v>
      </c>
      <c r="C214" s="7" t="s">
        <v>90</v>
      </c>
      <c r="D214" s="7" t="s">
        <v>99</v>
      </c>
      <c r="E214" s="7" t="s">
        <v>10</v>
      </c>
      <c r="F214" s="7" t="s">
        <v>92</v>
      </c>
      <c r="G214" s="7" t="s">
        <v>95</v>
      </c>
      <c r="H214" s="8">
        <v>23</v>
      </c>
    </row>
    <row r="215" spans="2:8">
      <c r="B215" s="7">
        <v>2015</v>
      </c>
      <c r="C215" s="7" t="s">
        <v>90</v>
      </c>
      <c r="D215" s="7" t="s">
        <v>99</v>
      </c>
      <c r="E215" s="7" t="s">
        <v>10</v>
      </c>
      <c r="F215" s="7" t="s">
        <v>94</v>
      </c>
      <c r="G215" s="7" t="s">
        <v>93</v>
      </c>
      <c r="H215" s="8">
        <v>529</v>
      </c>
    </row>
    <row r="216" spans="2:8">
      <c r="B216" s="7">
        <v>2015</v>
      </c>
      <c r="C216" s="7" t="s">
        <v>90</v>
      </c>
      <c r="D216" s="7" t="s">
        <v>99</v>
      </c>
      <c r="E216" s="7" t="s">
        <v>10</v>
      </c>
      <c r="F216" s="7" t="s">
        <v>94</v>
      </c>
      <c r="G216" s="7" t="s">
        <v>95</v>
      </c>
      <c r="H216" s="8">
        <v>386</v>
      </c>
    </row>
    <row r="217" spans="2:8">
      <c r="B217" s="7">
        <v>2015</v>
      </c>
      <c r="C217" s="7" t="s">
        <v>90</v>
      </c>
      <c r="D217" s="7" t="s">
        <v>100</v>
      </c>
      <c r="E217" s="7" t="s">
        <v>9</v>
      </c>
      <c r="F217" s="7" t="s">
        <v>92</v>
      </c>
      <c r="G217" s="7" t="s">
        <v>93</v>
      </c>
      <c r="H217" s="8">
        <v>84</v>
      </c>
    </row>
    <row r="218" spans="2:8">
      <c r="B218" s="7">
        <v>2015</v>
      </c>
      <c r="C218" s="7" t="s">
        <v>90</v>
      </c>
      <c r="D218" s="7" t="s">
        <v>100</v>
      </c>
      <c r="E218" s="7" t="s">
        <v>9</v>
      </c>
      <c r="F218" s="7" t="s">
        <v>92</v>
      </c>
      <c r="G218" s="7" t="s">
        <v>95</v>
      </c>
      <c r="H218" s="8">
        <v>74</v>
      </c>
    </row>
    <row r="219" spans="2:8">
      <c r="B219" s="7">
        <v>2015</v>
      </c>
      <c r="C219" s="7" t="s">
        <v>90</v>
      </c>
      <c r="D219" s="7" t="s">
        <v>100</v>
      </c>
      <c r="E219" s="7" t="s">
        <v>9</v>
      </c>
      <c r="F219" s="7" t="s">
        <v>94</v>
      </c>
      <c r="G219" s="7" t="s">
        <v>93</v>
      </c>
      <c r="H219" s="8">
        <v>105</v>
      </c>
    </row>
    <row r="220" spans="2:8">
      <c r="B220" s="7">
        <v>2015</v>
      </c>
      <c r="C220" s="7" t="s">
        <v>90</v>
      </c>
      <c r="D220" s="7" t="s">
        <v>100</v>
      </c>
      <c r="E220" s="7" t="s">
        <v>9</v>
      </c>
      <c r="F220" s="7" t="s">
        <v>94</v>
      </c>
      <c r="G220" s="7" t="s">
        <v>95</v>
      </c>
      <c r="H220" s="8">
        <v>99</v>
      </c>
    </row>
    <row r="221" spans="2:8">
      <c r="B221" s="7">
        <v>2015</v>
      </c>
      <c r="C221" s="7" t="s">
        <v>90</v>
      </c>
      <c r="D221" s="7" t="s">
        <v>100</v>
      </c>
      <c r="E221" s="7" t="s">
        <v>10</v>
      </c>
      <c r="F221" s="7" t="s">
        <v>92</v>
      </c>
      <c r="G221" s="7" t="s">
        <v>93</v>
      </c>
      <c r="H221" s="8">
        <v>3</v>
      </c>
    </row>
    <row r="222" spans="2:8">
      <c r="B222" s="7">
        <v>2015</v>
      </c>
      <c r="C222" s="7" t="s">
        <v>90</v>
      </c>
      <c r="D222" s="7" t="s">
        <v>100</v>
      </c>
      <c r="E222" s="7" t="s">
        <v>10</v>
      </c>
      <c r="F222" s="7" t="s">
        <v>92</v>
      </c>
      <c r="G222" s="7" t="s">
        <v>95</v>
      </c>
      <c r="H222" s="8">
        <v>3</v>
      </c>
    </row>
    <row r="223" spans="2:8">
      <c r="B223" s="7">
        <v>2015</v>
      </c>
      <c r="C223" s="7" t="s">
        <v>90</v>
      </c>
      <c r="D223" s="7" t="s">
        <v>100</v>
      </c>
      <c r="E223" s="7" t="s">
        <v>10</v>
      </c>
      <c r="F223" s="7" t="s">
        <v>94</v>
      </c>
      <c r="G223" s="7" t="s">
        <v>93</v>
      </c>
      <c r="H223" s="8">
        <v>5</v>
      </c>
    </row>
    <row r="224" spans="2:8">
      <c r="B224" s="7">
        <v>2015</v>
      </c>
      <c r="C224" s="7" t="s">
        <v>90</v>
      </c>
      <c r="D224" s="7" t="s">
        <v>101</v>
      </c>
      <c r="E224" s="7" t="s">
        <v>9</v>
      </c>
      <c r="F224" s="7" t="s">
        <v>92</v>
      </c>
      <c r="G224" s="7" t="s">
        <v>93</v>
      </c>
      <c r="H224" s="8">
        <v>311</v>
      </c>
    </row>
    <row r="225" spans="2:8">
      <c r="B225" s="7">
        <v>2015</v>
      </c>
      <c r="C225" s="7" t="s">
        <v>90</v>
      </c>
      <c r="D225" s="7" t="s">
        <v>101</v>
      </c>
      <c r="E225" s="7" t="s">
        <v>9</v>
      </c>
      <c r="F225" s="7" t="s">
        <v>92</v>
      </c>
      <c r="G225" s="7" t="s">
        <v>95</v>
      </c>
      <c r="H225" s="8">
        <v>201</v>
      </c>
    </row>
    <row r="226" spans="2:8">
      <c r="B226" s="7">
        <v>2015</v>
      </c>
      <c r="C226" s="7" t="s">
        <v>90</v>
      </c>
      <c r="D226" s="7" t="s">
        <v>101</v>
      </c>
      <c r="E226" s="7" t="s">
        <v>9</v>
      </c>
      <c r="F226" s="7" t="s">
        <v>94</v>
      </c>
      <c r="G226" s="7" t="s">
        <v>93</v>
      </c>
      <c r="H226" s="8">
        <v>376</v>
      </c>
    </row>
    <row r="227" spans="2:8">
      <c r="B227" s="7">
        <v>2015</v>
      </c>
      <c r="C227" s="7" t="s">
        <v>90</v>
      </c>
      <c r="D227" s="7" t="s">
        <v>101</v>
      </c>
      <c r="E227" s="7" t="s">
        <v>9</v>
      </c>
      <c r="F227" s="7" t="s">
        <v>94</v>
      </c>
      <c r="G227" s="7" t="s">
        <v>95</v>
      </c>
      <c r="H227" s="8">
        <v>368</v>
      </c>
    </row>
    <row r="228" spans="2:8">
      <c r="B228" s="7">
        <v>2015</v>
      </c>
      <c r="C228" s="7" t="s">
        <v>90</v>
      </c>
      <c r="D228" s="7" t="s">
        <v>101</v>
      </c>
      <c r="E228" s="7" t="s">
        <v>10</v>
      </c>
      <c r="F228" s="7" t="s">
        <v>92</v>
      </c>
      <c r="G228" s="7" t="s">
        <v>93</v>
      </c>
      <c r="H228" s="8">
        <v>9</v>
      </c>
    </row>
    <row r="229" spans="2:8">
      <c r="B229" s="7">
        <v>2015</v>
      </c>
      <c r="C229" s="7" t="s">
        <v>90</v>
      </c>
      <c r="D229" s="7" t="s">
        <v>101</v>
      </c>
      <c r="E229" s="7" t="s">
        <v>10</v>
      </c>
      <c r="F229" s="7" t="s">
        <v>92</v>
      </c>
      <c r="G229" s="7" t="s">
        <v>95</v>
      </c>
      <c r="H229" s="8">
        <v>5</v>
      </c>
    </row>
    <row r="230" spans="2:8">
      <c r="B230" s="7">
        <v>2015</v>
      </c>
      <c r="C230" s="7" t="s">
        <v>90</v>
      </c>
      <c r="D230" s="7" t="s">
        <v>101</v>
      </c>
      <c r="E230" s="7" t="s">
        <v>10</v>
      </c>
      <c r="F230" s="7" t="s">
        <v>94</v>
      </c>
      <c r="G230" s="7" t="s">
        <v>93</v>
      </c>
      <c r="H230" s="8">
        <v>65</v>
      </c>
    </row>
    <row r="231" spans="2:8">
      <c r="B231" s="7">
        <v>2015</v>
      </c>
      <c r="C231" s="7" t="s">
        <v>90</v>
      </c>
      <c r="D231" s="7" t="s">
        <v>101</v>
      </c>
      <c r="E231" s="7" t="s">
        <v>10</v>
      </c>
      <c r="F231" s="7" t="s">
        <v>94</v>
      </c>
      <c r="G231" s="7" t="s">
        <v>95</v>
      </c>
      <c r="H231" s="8">
        <v>52</v>
      </c>
    </row>
    <row r="232" spans="2:8">
      <c r="B232" s="7">
        <v>2015</v>
      </c>
      <c r="C232" s="7" t="s">
        <v>102</v>
      </c>
      <c r="D232" s="7" t="s">
        <v>103</v>
      </c>
      <c r="E232" s="7" t="s">
        <v>9</v>
      </c>
      <c r="F232" s="7" t="s">
        <v>92</v>
      </c>
      <c r="G232" s="7" t="s">
        <v>93</v>
      </c>
      <c r="H232" s="8">
        <v>327</v>
      </c>
    </row>
    <row r="233" spans="2:8">
      <c r="B233" s="7">
        <v>2015</v>
      </c>
      <c r="C233" s="7" t="s">
        <v>102</v>
      </c>
      <c r="D233" s="7" t="s">
        <v>103</v>
      </c>
      <c r="E233" s="7" t="s">
        <v>9</v>
      </c>
      <c r="F233" s="7" t="s">
        <v>92</v>
      </c>
      <c r="G233" s="7" t="s">
        <v>95</v>
      </c>
      <c r="H233" s="8">
        <v>321</v>
      </c>
    </row>
    <row r="234" spans="2:8">
      <c r="B234" s="7">
        <v>2015</v>
      </c>
      <c r="C234" s="7" t="s">
        <v>102</v>
      </c>
      <c r="D234" s="7" t="s">
        <v>103</v>
      </c>
      <c r="E234" s="7" t="s">
        <v>9</v>
      </c>
      <c r="F234" s="7" t="s">
        <v>94</v>
      </c>
      <c r="G234" s="7" t="s">
        <v>93</v>
      </c>
      <c r="H234" s="8">
        <v>504</v>
      </c>
    </row>
    <row r="235" spans="2:8">
      <c r="B235" s="7">
        <v>2015</v>
      </c>
      <c r="C235" s="7" t="s">
        <v>102</v>
      </c>
      <c r="D235" s="7" t="s">
        <v>103</v>
      </c>
      <c r="E235" s="7" t="s">
        <v>9</v>
      </c>
      <c r="F235" s="7" t="s">
        <v>94</v>
      </c>
      <c r="G235" s="7" t="s">
        <v>95</v>
      </c>
      <c r="H235" s="8">
        <v>422</v>
      </c>
    </row>
    <row r="236" spans="2:8">
      <c r="B236" s="7">
        <v>2015</v>
      </c>
      <c r="C236" s="7" t="s">
        <v>102</v>
      </c>
      <c r="D236" s="7" t="s">
        <v>103</v>
      </c>
      <c r="E236" s="7" t="s">
        <v>10</v>
      </c>
      <c r="F236" s="7" t="s">
        <v>92</v>
      </c>
      <c r="G236" s="7" t="s">
        <v>93</v>
      </c>
      <c r="H236" s="8">
        <v>10</v>
      </c>
    </row>
    <row r="237" spans="2:8">
      <c r="B237" s="7">
        <v>2015</v>
      </c>
      <c r="C237" s="7" t="s">
        <v>102</v>
      </c>
      <c r="D237" s="7" t="s">
        <v>103</v>
      </c>
      <c r="E237" s="7" t="s">
        <v>10</v>
      </c>
      <c r="F237" s="7" t="s">
        <v>92</v>
      </c>
      <c r="G237" s="7" t="s">
        <v>95</v>
      </c>
      <c r="H237" s="8">
        <v>11</v>
      </c>
    </row>
    <row r="238" spans="2:8">
      <c r="B238" s="7">
        <v>2015</v>
      </c>
      <c r="C238" s="7" t="s">
        <v>102</v>
      </c>
      <c r="D238" s="7" t="s">
        <v>103</v>
      </c>
      <c r="E238" s="7" t="s">
        <v>10</v>
      </c>
      <c r="F238" s="7" t="s">
        <v>94</v>
      </c>
      <c r="G238" s="7" t="s">
        <v>93</v>
      </c>
      <c r="H238" s="8">
        <v>16</v>
      </c>
    </row>
    <row r="239" spans="2:8">
      <c r="B239" s="7">
        <v>2015</v>
      </c>
      <c r="C239" s="7" t="s">
        <v>102</v>
      </c>
      <c r="D239" s="7" t="s">
        <v>103</v>
      </c>
      <c r="E239" s="7" t="s">
        <v>10</v>
      </c>
      <c r="F239" s="7" t="s">
        <v>94</v>
      </c>
      <c r="G239" s="7" t="s">
        <v>95</v>
      </c>
      <c r="H239" s="8">
        <v>28</v>
      </c>
    </row>
    <row r="240" spans="2:8">
      <c r="B240" s="7">
        <v>2015</v>
      </c>
      <c r="C240" s="7" t="s">
        <v>102</v>
      </c>
      <c r="D240" s="7" t="s">
        <v>104</v>
      </c>
      <c r="E240" s="7" t="s">
        <v>9</v>
      </c>
      <c r="F240" s="7" t="s">
        <v>92</v>
      </c>
      <c r="G240" s="7" t="s">
        <v>93</v>
      </c>
      <c r="H240" s="8">
        <v>1977</v>
      </c>
    </row>
    <row r="241" spans="2:8">
      <c r="B241" s="7">
        <v>2015</v>
      </c>
      <c r="C241" s="7" t="s">
        <v>102</v>
      </c>
      <c r="D241" s="7" t="s">
        <v>104</v>
      </c>
      <c r="E241" s="7" t="s">
        <v>9</v>
      </c>
      <c r="F241" s="7" t="s">
        <v>92</v>
      </c>
      <c r="G241" s="7" t="s">
        <v>95</v>
      </c>
      <c r="H241" s="8">
        <v>1410</v>
      </c>
    </row>
    <row r="242" spans="2:8">
      <c r="B242" s="7">
        <v>2015</v>
      </c>
      <c r="C242" s="7" t="s">
        <v>102</v>
      </c>
      <c r="D242" s="7" t="s">
        <v>104</v>
      </c>
      <c r="E242" s="7" t="s">
        <v>9</v>
      </c>
      <c r="F242" s="7" t="s">
        <v>94</v>
      </c>
      <c r="G242" s="7" t="s">
        <v>93</v>
      </c>
      <c r="H242" s="8">
        <v>3205</v>
      </c>
    </row>
    <row r="243" spans="2:8">
      <c r="B243" s="7">
        <v>2015</v>
      </c>
      <c r="C243" s="7" t="s">
        <v>102</v>
      </c>
      <c r="D243" s="7" t="s">
        <v>104</v>
      </c>
      <c r="E243" s="7" t="s">
        <v>9</v>
      </c>
      <c r="F243" s="7" t="s">
        <v>94</v>
      </c>
      <c r="G243" s="7" t="s">
        <v>95</v>
      </c>
      <c r="H243" s="8">
        <v>2691</v>
      </c>
    </row>
    <row r="244" spans="2:8">
      <c r="B244" s="7">
        <v>2015</v>
      </c>
      <c r="C244" s="7" t="s">
        <v>102</v>
      </c>
      <c r="D244" s="7" t="s">
        <v>104</v>
      </c>
      <c r="E244" s="7" t="s">
        <v>10</v>
      </c>
      <c r="F244" s="7" t="s">
        <v>92</v>
      </c>
      <c r="G244" s="7" t="s">
        <v>93</v>
      </c>
      <c r="H244" s="8">
        <v>144</v>
      </c>
    </row>
    <row r="245" spans="2:8">
      <c r="B245" s="7">
        <v>2015</v>
      </c>
      <c r="C245" s="7" t="s">
        <v>102</v>
      </c>
      <c r="D245" s="7" t="s">
        <v>104</v>
      </c>
      <c r="E245" s="7" t="s">
        <v>10</v>
      </c>
      <c r="F245" s="7" t="s">
        <v>92</v>
      </c>
      <c r="G245" s="7" t="s">
        <v>95</v>
      </c>
      <c r="H245" s="8">
        <v>107</v>
      </c>
    </row>
    <row r="246" spans="2:8">
      <c r="B246" s="7">
        <v>2015</v>
      </c>
      <c r="C246" s="7" t="s">
        <v>102</v>
      </c>
      <c r="D246" s="7" t="s">
        <v>104</v>
      </c>
      <c r="E246" s="7" t="s">
        <v>10</v>
      </c>
      <c r="F246" s="7" t="s">
        <v>94</v>
      </c>
      <c r="G246" s="7" t="s">
        <v>93</v>
      </c>
      <c r="H246" s="8">
        <v>2136</v>
      </c>
    </row>
    <row r="247" spans="2:8">
      <c r="B247" s="7">
        <v>2015</v>
      </c>
      <c r="C247" s="7" t="s">
        <v>102</v>
      </c>
      <c r="D247" s="7" t="s">
        <v>104</v>
      </c>
      <c r="E247" s="7" t="s">
        <v>10</v>
      </c>
      <c r="F247" s="7" t="s">
        <v>94</v>
      </c>
      <c r="G247" s="7" t="s">
        <v>95</v>
      </c>
      <c r="H247" s="8">
        <v>1674</v>
      </c>
    </row>
    <row r="248" spans="2:8">
      <c r="B248" s="7">
        <v>2015</v>
      </c>
      <c r="C248" s="7" t="s">
        <v>102</v>
      </c>
      <c r="D248" s="7" t="s">
        <v>105</v>
      </c>
      <c r="E248" s="7" t="s">
        <v>9</v>
      </c>
      <c r="F248" s="7" t="s">
        <v>92</v>
      </c>
      <c r="G248" s="7" t="s">
        <v>93</v>
      </c>
      <c r="H248" s="8">
        <v>437</v>
      </c>
    </row>
    <row r="249" spans="2:8">
      <c r="B249" s="7">
        <v>2015</v>
      </c>
      <c r="C249" s="7" t="s">
        <v>102</v>
      </c>
      <c r="D249" s="7" t="s">
        <v>105</v>
      </c>
      <c r="E249" s="7" t="s">
        <v>9</v>
      </c>
      <c r="F249" s="7" t="s">
        <v>92</v>
      </c>
      <c r="G249" s="7" t="s">
        <v>95</v>
      </c>
      <c r="H249" s="8">
        <v>473</v>
      </c>
    </row>
    <row r="250" spans="2:8">
      <c r="B250" s="7">
        <v>2015</v>
      </c>
      <c r="C250" s="7" t="s">
        <v>102</v>
      </c>
      <c r="D250" s="7" t="s">
        <v>105</v>
      </c>
      <c r="E250" s="7" t="s">
        <v>9</v>
      </c>
      <c r="F250" s="7" t="s">
        <v>94</v>
      </c>
      <c r="G250" s="7" t="s">
        <v>93</v>
      </c>
      <c r="H250" s="8">
        <v>2264</v>
      </c>
    </row>
    <row r="251" spans="2:8">
      <c r="B251" s="7">
        <v>2015</v>
      </c>
      <c r="C251" s="7" t="s">
        <v>102</v>
      </c>
      <c r="D251" s="7" t="s">
        <v>105</v>
      </c>
      <c r="E251" s="7" t="s">
        <v>9</v>
      </c>
      <c r="F251" s="7" t="s">
        <v>94</v>
      </c>
      <c r="G251" s="7" t="s">
        <v>95</v>
      </c>
      <c r="H251" s="8">
        <v>2269</v>
      </c>
    </row>
    <row r="252" spans="2:8">
      <c r="B252" s="7">
        <v>2015</v>
      </c>
      <c r="C252" s="7" t="s">
        <v>102</v>
      </c>
      <c r="D252" s="7" t="s">
        <v>105</v>
      </c>
      <c r="E252" s="7" t="s">
        <v>10</v>
      </c>
      <c r="F252" s="7" t="s">
        <v>92</v>
      </c>
      <c r="G252" s="7" t="s">
        <v>93</v>
      </c>
      <c r="H252" s="8">
        <v>9</v>
      </c>
    </row>
    <row r="253" spans="2:8">
      <c r="B253" s="7">
        <v>2015</v>
      </c>
      <c r="C253" s="7" t="s">
        <v>102</v>
      </c>
      <c r="D253" s="7" t="s">
        <v>105</v>
      </c>
      <c r="E253" s="7" t="s">
        <v>10</v>
      </c>
      <c r="F253" s="7" t="s">
        <v>92</v>
      </c>
      <c r="G253" s="7" t="s">
        <v>95</v>
      </c>
      <c r="H253" s="8">
        <v>5</v>
      </c>
    </row>
    <row r="254" spans="2:8">
      <c r="B254" s="7">
        <v>2015</v>
      </c>
      <c r="C254" s="7" t="s">
        <v>102</v>
      </c>
      <c r="D254" s="7" t="s">
        <v>105</v>
      </c>
      <c r="E254" s="7" t="s">
        <v>10</v>
      </c>
      <c r="F254" s="7" t="s">
        <v>94</v>
      </c>
      <c r="G254" s="7" t="s">
        <v>93</v>
      </c>
      <c r="H254" s="8">
        <v>762</v>
      </c>
    </row>
    <row r="255" spans="2:8">
      <c r="B255" s="7">
        <v>2015</v>
      </c>
      <c r="C255" s="7" t="s">
        <v>102</v>
      </c>
      <c r="D255" s="7" t="s">
        <v>105</v>
      </c>
      <c r="E255" s="7" t="s">
        <v>10</v>
      </c>
      <c r="F255" s="7" t="s">
        <v>94</v>
      </c>
      <c r="G255" s="7" t="s">
        <v>95</v>
      </c>
      <c r="H255" s="8">
        <v>737</v>
      </c>
    </row>
    <row r="256" spans="2:8">
      <c r="B256" s="7">
        <v>2015</v>
      </c>
      <c r="C256" s="7" t="s">
        <v>102</v>
      </c>
      <c r="D256" s="7" t="s">
        <v>106</v>
      </c>
      <c r="E256" s="7" t="s">
        <v>9</v>
      </c>
      <c r="F256" s="7" t="s">
        <v>92</v>
      </c>
      <c r="G256" s="7" t="s">
        <v>93</v>
      </c>
      <c r="H256" s="8">
        <v>286</v>
      </c>
    </row>
    <row r="257" spans="2:8">
      <c r="B257" s="7">
        <v>2015</v>
      </c>
      <c r="C257" s="7" t="s">
        <v>102</v>
      </c>
      <c r="D257" s="7" t="s">
        <v>106</v>
      </c>
      <c r="E257" s="7" t="s">
        <v>9</v>
      </c>
      <c r="F257" s="7" t="s">
        <v>92</v>
      </c>
      <c r="G257" s="7" t="s">
        <v>95</v>
      </c>
      <c r="H257" s="8">
        <v>223</v>
      </c>
    </row>
    <row r="258" spans="2:8">
      <c r="B258" s="7">
        <v>2015</v>
      </c>
      <c r="C258" s="7" t="s">
        <v>102</v>
      </c>
      <c r="D258" s="7" t="s">
        <v>106</v>
      </c>
      <c r="E258" s="7" t="s">
        <v>9</v>
      </c>
      <c r="F258" s="7" t="s">
        <v>94</v>
      </c>
      <c r="G258" s="7" t="s">
        <v>93</v>
      </c>
      <c r="H258" s="8">
        <v>1280</v>
      </c>
    </row>
    <row r="259" spans="2:8">
      <c r="B259" s="7">
        <v>2015</v>
      </c>
      <c r="C259" s="7" t="s">
        <v>102</v>
      </c>
      <c r="D259" s="7" t="s">
        <v>106</v>
      </c>
      <c r="E259" s="7" t="s">
        <v>9</v>
      </c>
      <c r="F259" s="7" t="s">
        <v>94</v>
      </c>
      <c r="G259" s="7" t="s">
        <v>95</v>
      </c>
      <c r="H259" s="8">
        <v>1100</v>
      </c>
    </row>
    <row r="260" spans="2:8">
      <c r="B260" s="7">
        <v>2015</v>
      </c>
      <c r="C260" s="7" t="s">
        <v>102</v>
      </c>
      <c r="D260" s="7" t="s">
        <v>106</v>
      </c>
      <c r="E260" s="7" t="s">
        <v>10</v>
      </c>
      <c r="F260" s="7" t="s">
        <v>92</v>
      </c>
      <c r="G260" s="7" t="s">
        <v>93</v>
      </c>
      <c r="H260" s="8">
        <v>39</v>
      </c>
    </row>
    <row r="261" spans="2:8">
      <c r="B261" s="7">
        <v>2015</v>
      </c>
      <c r="C261" s="7" t="s">
        <v>102</v>
      </c>
      <c r="D261" s="7" t="s">
        <v>106</v>
      </c>
      <c r="E261" s="7" t="s">
        <v>10</v>
      </c>
      <c r="F261" s="7" t="s">
        <v>92</v>
      </c>
      <c r="G261" s="7" t="s">
        <v>95</v>
      </c>
      <c r="H261" s="8">
        <v>43</v>
      </c>
    </row>
    <row r="262" spans="2:8">
      <c r="B262" s="7">
        <v>2015</v>
      </c>
      <c r="C262" s="7" t="s">
        <v>102</v>
      </c>
      <c r="D262" s="7" t="s">
        <v>106</v>
      </c>
      <c r="E262" s="7" t="s">
        <v>10</v>
      </c>
      <c r="F262" s="7" t="s">
        <v>94</v>
      </c>
      <c r="G262" s="7" t="s">
        <v>93</v>
      </c>
      <c r="H262" s="8">
        <v>1696</v>
      </c>
    </row>
    <row r="263" spans="2:8">
      <c r="B263" s="7">
        <v>2015</v>
      </c>
      <c r="C263" s="7" t="s">
        <v>102</v>
      </c>
      <c r="D263" s="7" t="s">
        <v>106</v>
      </c>
      <c r="E263" s="7" t="s">
        <v>10</v>
      </c>
      <c r="F263" s="7" t="s">
        <v>94</v>
      </c>
      <c r="G263" s="7" t="s">
        <v>95</v>
      </c>
      <c r="H263" s="8">
        <v>1306</v>
      </c>
    </row>
    <row r="264" spans="2:8">
      <c r="B264" s="7">
        <v>2015</v>
      </c>
      <c r="C264" s="7" t="s">
        <v>102</v>
      </c>
      <c r="D264" s="7" t="s">
        <v>107</v>
      </c>
      <c r="E264" s="7" t="s">
        <v>9</v>
      </c>
      <c r="F264" s="7" t="s">
        <v>92</v>
      </c>
      <c r="G264" s="7" t="s">
        <v>93</v>
      </c>
      <c r="H264" s="8">
        <v>183</v>
      </c>
    </row>
    <row r="265" spans="2:8">
      <c r="B265" s="7">
        <v>2015</v>
      </c>
      <c r="C265" s="7" t="s">
        <v>102</v>
      </c>
      <c r="D265" s="7" t="s">
        <v>107</v>
      </c>
      <c r="E265" s="7" t="s">
        <v>9</v>
      </c>
      <c r="F265" s="7" t="s">
        <v>92</v>
      </c>
      <c r="G265" s="7" t="s">
        <v>95</v>
      </c>
      <c r="H265" s="8">
        <v>218</v>
      </c>
    </row>
    <row r="266" spans="2:8">
      <c r="B266" s="7">
        <v>2015</v>
      </c>
      <c r="C266" s="7" t="s">
        <v>102</v>
      </c>
      <c r="D266" s="7" t="s">
        <v>107</v>
      </c>
      <c r="E266" s="7" t="s">
        <v>9</v>
      </c>
      <c r="F266" s="7" t="s">
        <v>94</v>
      </c>
      <c r="G266" s="7" t="s">
        <v>93</v>
      </c>
      <c r="H266" s="8">
        <v>1354</v>
      </c>
    </row>
    <row r="267" spans="2:8">
      <c r="B267" s="7">
        <v>2015</v>
      </c>
      <c r="C267" s="7" t="s">
        <v>102</v>
      </c>
      <c r="D267" s="7" t="s">
        <v>107</v>
      </c>
      <c r="E267" s="7" t="s">
        <v>9</v>
      </c>
      <c r="F267" s="7" t="s">
        <v>94</v>
      </c>
      <c r="G267" s="7" t="s">
        <v>95</v>
      </c>
      <c r="H267" s="8">
        <v>1492</v>
      </c>
    </row>
    <row r="268" spans="2:8">
      <c r="B268" s="7">
        <v>2015</v>
      </c>
      <c r="C268" s="7" t="s">
        <v>102</v>
      </c>
      <c r="D268" s="7" t="s">
        <v>107</v>
      </c>
      <c r="E268" s="7" t="s">
        <v>10</v>
      </c>
      <c r="F268" s="7" t="s">
        <v>92</v>
      </c>
      <c r="G268" s="7" t="s">
        <v>93</v>
      </c>
      <c r="H268" s="8">
        <v>13</v>
      </c>
    </row>
    <row r="269" spans="2:8">
      <c r="B269" s="7">
        <v>2015</v>
      </c>
      <c r="C269" s="7" t="s">
        <v>102</v>
      </c>
      <c r="D269" s="7" t="s">
        <v>107</v>
      </c>
      <c r="E269" s="7" t="s">
        <v>10</v>
      </c>
      <c r="F269" s="7" t="s">
        <v>92</v>
      </c>
      <c r="G269" s="7" t="s">
        <v>95</v>
      </c>
      <c r="H269" s="8">
        <v>12</v>
      </c>
    </row>
    <row r="270" spans="2:8">
      <c r="B270" s="7">
        <v>2015</v>
      </c>
      <c r="C270" s="7" t="s">
        <v>102</v>
      </c>
      <c r="D270" s="7" t="s">
        <v>107</v>
      </c>
      <c r="E270" s="7" t="s">
        <v>10</v>
      </c>
      <c r="F270" s="7" t="s">
        <v>94</v>
      </c>
      <c r="G270" s="7" t="s">
        <v>93</v>
      </c>
      <c r="H270" s="8">
        <v>152</v>
      </c>
    </row>
    <row r="271" spans="2:8">
      <c r="B271" s="7">
        <v>2015</v>
      </c>
      <c r="C271" s="7" t="s">
        <v>102</v>
      </c>
      <c r="D271" s="7" t="s">
        <v>107</v>
      </c>
      <c r="E271" s="7" t="s">
        <v>10</v>
      </c>
      <c r="F271" s="7" t="s">
        <v>94</v>
      </c>
      <c r="G271" s="7" t="s">
        <v>95</v>
      </c>
      <c r="H271" s="8">
        <v>156</v>
      </c>
    </row>
    <row r="272" spans="2:8">
      <c r="B272" s="7">
        <v>2015</v>
      </c>
      <c r="C272" s="7" t="s">
        <v>102</v>
      </c>
      <c r="D272" s="7" t="s">
        <v>108</v>
      </c>
      <c r="E272" s="7" t="s">
        <v>9</v>
      </c>
      <c r="F272" s="7" t="s">
        <v>92</v>
      </c>
      <c r="G272" s="7" t="s">
        <v>93</v>
      </c>
      <c r="H272" s="8">
        <v>587</v>
      </c>
    </row>
    <row r="273" spans="2:8">
      <c r="B273" s="7">
        <v>2015</v>
      </c>
      <c r="C273" s="7" t="s">
        <v>102</v>
      </c>
      <c r="D273" s="7" t="s">
        <v>108</v>
      </c>
      <c r="E273" s="7" t="s">
        <v>9</v>
      </c>
      <c r="F273" s="7" t="s">
        <v>92</v>
      </c>
      <c r="G273" s="7" t="s">
        <v>95</v>
      </c>
      <c r="H273" s="8">
        <v>643</v>
      </c>
    </row>
    <row r="274" spans="2:8">
      <c r="B274" s="7">
        <v>2015</v>
      </c>
      <c r="C274" s="7" t="s">
        <v>102</v>
      </c>
      <c r="D274" s="7" t="s">
        <v>108</v>
      </c>
      <c r="E274" s="7" t="s">
        <v>9</v>
      </c>
      <c r="F274" s="7" t="s">
        <v>94</v>
      </c>
      <c r="G274" s="7" t="s">
        <v>93</v>
      </c>
      <c r="H274" s="8">
        <v>2168</v>
      </c>
    </row>
    <row r="275" spans="2:8">
      <c r="B275" s="7">
        <v>2015</v>
      </c>
      <c r="C275" s="7" t="s">
        <v>102</v>
      </c>
      <c r="D275" s="7" t="s">
        <v>108</v>
      </c>
      <c r="E275" s="7" t="s">
        <v>9</v>
      </c>
      <c r="F275" s="7" t="s">
        <v>94</v>
      </c>
      <c r="G275" s="7" t="s">
        <v>95</v>
      </c>
      <c r="H275" s="8">
        <v>1927</v>
      </c>
    </row>
    <row r="276" spans="2:8">
      <c r="B276" s="7">
        <v>2015</v>
      </c>
      <c r="C276" s="7" t="s">
        <v>102</v>
      </c>
      <c r="D276" s="7" t="s">
        <v>108</v>
      </c>
      <c r="E276" s="7" t="s">
        <v>10</v>
      </c>
      <c r="F276" s="7" t="s">
        <v>92</v>
      </c>
      <c r="G276" s="7" t="s">
        <v>93</v>
      </c>
      <c r="H276" s="8">
        <v>18</v>
      </c>
    </row>
    <row r="277" spans="2:8">
      <c r="B277" s="7">
        <v>2015</v>
      </c>
      <c r="C277" s="7" t="s">
        <v>102</v>
      </c>
      <c r="D277" s="7" t="s">
        <v>108</v>
      </c>
      <c r="E277" s="7" t="s">
        <v>10</v>
      </c>
      <c r="F277" s="7" t="s">
        <v>92</v>
      </c>
      <c r="G277" s="7" t="s">
        <v>95</v>
      </c>
      <c r="H277" s="8">
        <v>36</v>
      </c>
    </row>
    <row r="278" spans="2:8">
      <c r="B278" s="7">
        <v>2015</v>
      </c>
      <c r="C278" s="7" t="s">
        <v>102</v>
      </c>
      <c r="D278" s="7" t="s">
        <v>108</v>
      </c>
      <c r="E278" s="7" t="s">
        <v>10</v>
      </c>
      <c r="F278" s="7" t="s">
        <v>94</v>
      </c>
      <c r="G278" s="7" t="s">
        <v>93</v>
      </c>
      <c r="H278" s="8">
        <v>1124</v>
      </c>
    </row>
    <row r="279" spans="2:8">
      <c r="B279" s="7">
        <v>2015</v>
      </c>
      <c r="C279" s="7" t="s">
        <v>102</v>
      </c>
      <c r="D279" s="7" t="s">
        <v>108</v>
      </c>
      <c r="E279" s="7" t="s">
        <v>10</v>
      </c>
      <c r="F279" s="7" t="s">
        <v>94</v>
      </c>
      <c r="G279" s="7" t="s">
        <v>95</v>
      </c>
      <c r="H279" s="8">
        <v>969</v>
      </c>
    </row>
    <row r="280" spans="2:8">
      <c r="B280" s="7">
        <v>2015</v>
      </c>
      <c r="C280" s="7" t="s">
        <v>102</v>
      </c>
      <c r="D280" s="7" t="s">
        <v>109</v>
      </c>
      <c r="E280" s="7" t="s">
        <v>9</v>
      </c>
      <c r="F280" s="7" t="s">
        <v>92</v>
      </c>
      <c r="G280" s="7" t="s">
        <v>93</v>
      </c>
      <c r="H280" s="8">
        <v>123</v>
      </c>
    </row>
    <row r="281" spans="2:8">
      <c r="B281" s="7">
        <v>2015</v>
      </c>
      <c r="C281" s="7" t="s">
        <v>102</v>
      </c>
      <c r="D281" s="7" t="s">
        <v>109</v>
      </c>
      <c r="E281" s="7" t="s">
        <v>9</v>
      </c>
      <c r="F281" s="7" t="s">
        <v>92</v>
      </c>
      <c r="G281" s="7" t="s">
        <v>95</v>
      </c>
      <c r="H281" s="8">
        <v>119</v>
      </c>
    </row>
    <row r="282" spans="2:8">
      <c r="B282" s="7">
        <v>2015</v>
      </c>
      <c r="C282" s="7" t="s">
        <v>102</v>
      </c>
      <c r="D282" s="7" t="s">
        <v>109</v>
      </c>
      <c r="E282" s="7" t="s">
        <v>9</v>
      </c>
      <c r="F282" s="7" t="s">
        <v>94</v>
      </c>
      <c r="G282" s="7" t="s">
        <v>93</v>
      </c>
      <c r="H282" s="8">
        <v>738</v>
      </c>
    </row>
    <row r="283" spans="2:8">
      <c r="B283" s="7">
        <v>2015</v>
      </c>
      <c r="C283" s="7" t="s">
        <v>102</v>
      </c>
      <c r="D283" s="7" t="s">
        <v>109</v>
      </c>
      <c r="E283" s="7" t="s">
        <v>9</v>
      </c>
      <c r="F283" s="7" t="s">
        <v>94</v>
      </c>
      <c r="G283" s="7" t="s">
        <v>95</v>
      </c>
      <c r="H283" s="8">
        <v>549</v>
      </c>
    </row>
    <row r="284" spans="2:8">
      <c r="B284" s="7">
        <v>2015</v>
      </c>
      <c r="C284" s="7" t="s">
        <v>102</v>
      </c>
      <c r="D284" s="7" t="s">
        <v>109</v>
      </c>
      <c r="E284" s="7" t="s">
        <v>10</v>
      </c>
      <c r="F284" s="7" t="s">
        <v>92</v>
      </c>
      <c r="G284" s="7" t="s">
        <v>93</v>
      </c>
      <c r="H284" s="8">
        <v>4</v>
      </c>
    </row>
    <row r="285" spans="2:8">
      <c r="B285" s="7">
        <v>2015</v>
      </c>
      <c r="C285" s="7" t="s">
        <v>102</v>
      </c>
      <c r="D285" s="7" t="s">
        <v>109</v>
      </c>
      <c r="E285" s="7" t="s">
        <v>10</v>
      </c>
      <c r="F285" s="7" t="s">
        <v>92</v>
      </c>
      <c r="G285" s="7" t="s">
        <v>95</v>
      </c>
      <c r="H285" s="8">
        <v>8</v>
      </c>
    </row>
    <row r="286" spans="2:8">
      <c r="B286" s="7">
        <v>2015</v>
      </c>
      <c r="C286" s="7" t="s">
        <v>102</v>
      </c>
      <c r="D286" s="7" t="s">
        <v>109</v>
      </c>
      <c r="E286" s="7" t="s">
        <v>10</v>
      </c>
      <c r="F286" s="7" t="s">
        <v>94</v>
      </c>
      <c r="G286" s="7" t="s">
        <v>93</v>
      </c>
      <c r="H286" s="8">
        <v>404</v>
      </c>
    </row>
    <row r="287" spans="2:8">
      <c r="B287" s="7">
        <v>2015</v>
      </c>
      <c r="C287" s="7" t="s">
        <v>102</v>
      </c>
      <c r="D287" s="7" t="s">
        <v>109</v>
      </c>
      <c r="E287" s="7" t="s">
        <v>10</v>
      </c>
      <c r="F287" s="7" t="s">
        <v>94</v>
      </c>
      <c r="G287" s="7" t="s">
        <v>95</v>
      </c>
      <c r="H287" s="8">
        <v>238</v>
      </c>
    </row>
    <row r="288" spans="2:8">
      <c r="B288" s="7">
        <v>2015</v>
      </c>
      <c r="C288" s="7" t="s">
        <v>102</v>
      </c>
      <c r="D288" s="7" t="s">
        <v>110</v>
      </c>
      <c r="E288" s="7" t="s">
        <v>9</v>
      </c>
      <c r="F288" s="7" t="s">
        <v>92</v>
      </c>
      <c r="G288" s="7" t="s">
        <v>93</v>
      </c>
      <c r="H288" s="8">
        <v>253</v>
      </c>
    </row>
    <row r="289" spans="2:8">
      <c r="B289" s="7">
        <v>2015</v>
      </c>
      <c r="C289" s="7" t="s">
        <v>102</v>
      </c>
      <c r="D289" s="7" t="s">
        <v>110</v>
      </c>
      <c r="E289" s="7" t="s">
        <v>9</v>
      </c>
      <c r="F289" s="7" t="s">
        <v>92</v>
      </c>
      <c r="G289" s="7" t="s">
        <v>95</v>
      </c>
      <c r="H289" s="8">
        <v>277</v>
      </c>
    </row>
    <row r="290" spans="2:8">
      <c r="B290" s="7">
        <v>2015</v>
      </c>
      <c r="C290" s="7" t="s">
        <v>102</v>
      </c>
      <c r="D290" s="7" t="s">
        <v>110</v>
      </c>
      <c r="E290" s="7" t="s">
        <v>9</v>
      </c>
      <c r="F290" s="7" t="s">
        <v>94</v>
      </c>
      <c r="G290" s="7" t="s">
        <v>93</v>
      </c>
      <c r="H290" s="8">
        <v>866</v>
      </c>
    </row>
    <row r="291" spans="2:8">
      <c r="B291" s="7">
        <v>2015</v>
      </c>
      <c r="C291" s="7" t="s">
        <v>102</v>
      </c>
      <c r="D291" s="7" t="s">
        <v>110</v>
      </c>
      <c r="E291" s="7" t="s">
        <v>9</v>
      </c>
      <c r="F291" s="7" t="s">
        <v>94</v>
      </c>
      <c r="G291" s="7" t="s">
        <v>95</v>
      </c>
      <c r="H291" s="8">
        <v>881</v>
      </c>
    </row>
    <row r="292" spans="2:8">
      <c r="B292" s="7">
        <v>2015</v>
      </c>
      <c r="C292" s="7" t="s">
        <v>102</v>
      </c>
      <c r="D292" s="7" t="s">
        <v>110</v>
      </c>
      <c r="E292" s="7" t="s">
        <v>10</v>
      </c>
      <c r="F292" s="7" t="s">
        <v>92</v>
      </c>
      <c r="G292" s="7" t="s">
        <v>93</v>
      </c>
      <c r="H292" s="8">
        <v>2</v>
      </c>
    </row>
    <row r="293" spans="2:8">
      <c r="B293" s="7">
        <v>2015</v>
      </c>
      <c r="C293" s="7" t="s">
        <v>102</v>
      </c>
      <c r="D293" s="7" t="s">
        <v>110</v>
      </c>
      <c r="E293" s="7" t="s">
        <v>10</v>
      </c>
      <c r="F293" s="7" t="s">
        <v>92</v>
      </c>
      <c r="G293" s="7" t="s">
        <v>95</v>
      </c>
      <c r="H293" s="8">
        <v>5</v>
      </c>
    </row>
    <row r="294" spans="2:8">
      <c r="B294" s="7">
        <v>2015</v>
      </c>
      <c r="C294" s="7" t="s">
        <v>102</v>
      </c>
      <c r="D294" s="7" t="s">
        <v>110</v>
      </c>
      <c r="E294" s="7" t="s">
        <v>10</v>
      </c>
      <c r="F294" s="7" t="s">
        <v>94</v>
      </c>
      <c r="G294" s="7" t="s">
        <v>93</v>
      </c>
      <c r="H294" s="8">
        <v>515</v>
      </c>
    </row>
    <row r="295" spans="2:8">
      <c r="B295" s="7">
        <v>2015</v>
      </c>
      <c r="C295" s="7" t="s">
        <v>102</v>
      </c>
      <c r="D295" s="7" t="s">
        <v>110</v>
      </c>
      <c r="E295" s="7" t="s">
        <v>10</v>
      </c>
      <c r="F295" s="7" t="s">
        <v>94</v>
      </c>
      <c r="G295" s="7" t="s">
        <v>95</v>
      </c>
      <c r="H295" s="8">
        <v>370</v>
      </c>
    </row>
    <row r="296" spans="2:8">
      <c r="B296" s="7">
        <v>2015</v>
      </c>
      <c r="C296" s="7" t="s">
        <v>102</v>
      </c>
      <c r="D296" s="7" t="s">
        <v>111</v>
      </c>
      <c r="E296" s="7" t="s">
        <v>9</v>
      </c>
      <c r="F296" s="7" t="s">
        <v>92</v>
      </c>
      <c r="G296" s="7" t="s">
        <v>93</v>
      </c>
      <c r="H296" s="8">
        <v>140</v>
      </c>
    </row>
    <row r="297" spans="2:8">
      <c r="B297" s="7">
        <v>2015</v>
      </c>
      <c r="C297" s="7" t="s">
        <v>102</v>
      </c>
      <c r="D297" s="7" t="s">
        <v>111</v>
      </c>
      <c r="E297" s="7" t="s">
        <v>9</v>
      </c>
      <c r="F297" s="7" t="s">
        <v>92</v>
      </c>
      <c r="G297" s="7" t="s">
        <v>95</v>
      </c>
      <c r="H297" s="8">
        <v>148</v>
      </c>
    </row>
    <row r="298" spans="2:8">
      <c r="B298" s="7">
        <v>2015</v>
      </c>
      <c r="C298" s="7" t="s">
        <v>102</v>
      </c>
      <c r="D298" s="7" t="s">
        <v>111</v>
      </c>
      <c r="E298" s="7" t="s">
        <v>9</v>
      </c>
      <c r="F298" s="7" t="s">
        <v>94</v>
      </c>
      <c r="G298" s="7" t="s">
        <v>93</v>
      </c>
      <c r="H298" s="8">
        <v>547</v>
      </c>
    </row>
    <row r="299" spans="2:8">
      <c r="B299" s="7">
        <v>2015</v>
      </c>
      <c r="C299" s="7" t="s">
        <v>102</v>
      </c>
      <c r="D299" s="7" t="s">
        <v>111</v>
      </c>
      <c r="E299" s="7" t="s">
        <v>9</v>
      </c>
      <c r="F299" s="7" t="s">
        <v>94</v>
      </c>
      <c r="G299" s="7" t="s">
        <v>95</v>
      </c>
      <c r="H299" s="8">
        <v>522</v>
      </c>
    </row>
    <row r="300" spans="2:8">
      <c r="B300" s="7">
        <v>2015</v>
      </c>
      <c r="C300" s="7" t="s">
        <v>102</v>
      </c>
      <c r="D300" s="7" t="s">
        <v>111</v>
      </c>
      <c r="E300" s="7" t="s">
        <v>10</v>
      </c>
      <c r="F300" s="7" t="s">
        <v>92</v>
      </c>
      <c r="G300" s="7" t="s">
        <v>93</v>
      </c>
      <c r="H300" s="8">
        <v>6</v>
      </c>
    </row>
    <row r="301" spans="2:8">
      <c r="B301" s="7">
        <v>2015</v>
      </c>
      <c r="C301" s="7" t="s">
        <v>102</v>
      </c>
      <c r="D301" s="7" t="s">
        <v>111</v>
      </c>
      <c r="E301" s="7" t="s">
        <v>10</v>
      </c>
      <c r="F301" s="7" t="s">
        <v>92</v>
      </c>
      <c r="G301" s="7" t="s">
        <v>95</v>
      </c>
      <c r="H301" s="8">
        <v>5</v>
      </c>
    </row>
    <row r="302" spans="2:8">
      <c r="B302" s="7">
        <v>2015</v>
      </c>
      <c r="C302" s="7" t="s">
        <v>102</v>
      </c>
      <c r="D302" s="7" t="s">
        <v>111</v>
      </c>
      <c r="E302" s="7" t="s">
        <v>10</v>
      </c>
      <c r="F302" s="7" t="s">
        <v>94</v>
      </c>
      <c r="G302" s="7" t="s">
        <v>93</v>
      </c>
      <c r="H302" s="8">
        <v>174</v>
      </c>
    </row>
    <row r="303" spans="2:8">
      <c r="B303" s="7">
        <v>2015</v>
      </c>
      <c r="C303" s="7" t="s">
        <v>102</v>
      </c>
      <c r="D303" s="7" t="s">
        <v>111</v>
      </c>
      <c r="E303" s="7" t="s">
        <v>10</v>
      </c>
      <c r="F303" s="7" t="s">
        <v>94</v>
      </c>
      <c r="G303" s="7" t="s">
        <v>95</v>
      </c>
      <c r="H303" s="8">
        <v>89</v>
      </c>
    </row>
    <row r="304" spans="2:8">
      <c r="B304" s="7">
        <v>2015</v>
      </c>
      <c r="C304" s="7" t="s">
        <v>112</v>
      </c>
      <c r="D304" s="7" t="s">
        <v>113</v>
      </c>
      <c r="E304" s="7" t="s">
        <v>9</v>
      </c>
      <c r="F304" s="7" t="s">
        <v>92</v>
      </c>
      <c r="G304" s="7" t="s">
        <v>93</v>
      </c>
      <c r="H304" s="8">
        <v>499</v>
      </c>
    </row>
    <row r="305" spans="2:8">
      <c r="B305" s="7">
        <v>2015</v>
      </c>
      <c r="C305" s="7" t="s">
        <v>112</v>
      </c>
      <c r="D305" s="7" t="s">
        <v>113</v>
      </c>
      <c r="E305" s="7" t="s">
        <v>9</v>
      </c>
      <c r="F305" s="7" t="s">
        <v>92</v>
      </c>
      <c r="G305" s="7" t="s">
        <v>95</v>
      </c>
      <c r="H305" s="8">
        <v>492</v>
      </c>
    </row>
    <row r="306" spans="2:8">
      <c r="B306" s="7">
        <v>2015</v>
      </c>
      <c r="C306" s="7" t="s">
        <v>112</v>
      </c>
      <c r="D306" s="7" t="s">
        <v>113</v>
      </c>
      <c r="E306" s="7" t="s">
        <v>9</v>
      </c>
      <c r="F306" s="7" t="s">
        <v>94</v>
      </c>
      <c r="G306" s="7" t="s">
        <v>93</v>
      </c>
      <c r="H306" s="8">
        <v>1450</v>
      </c>
    </row>
    <row r="307" spans="2:8">
      <c r="B307" s="7">
        <v>2015</v>
      </c>
      <c r="C307" s="7" t="s">
        <v>112</v>
      </c>
      <c r="D307" s="7" t="s">
        <v>113</v>
      </c>
      <c r="E307" s="7" t="s">
        <v>9</v>
      </c>
      <c r="F307" s="7" t="s">
        <v>94</v>
      </c>
      <c r="G307" s="7" t="s">
        <v>95</v>
      </c>
      <c r="H307" s="8">
        <v>1360</v>
      </c>
    </row>
    <row r="308" spans="2:8">
      <c r="B308" s="7">
        <v>2015</v>
      </c>
      <c r="C308" s="7" t="s">
        <v>112</v>
      </c>
      <c r="D308" s="7" t="s">
        <v>113</v>
      </c>
      <c r="E308" s="7" t="s">
        <v>10</v>
      </c>
      <c r="F308" s="7" t="s">
        <v>92</v>
      </c>
      <c r="G308" s="7" t="s">
        <v>93</v>
      </c>
      <c r="H308" s="8">
        <v>77</v>
      </c>
    </row>
    <row r="309" spans="2:8">
      <c r="B309" s="7">
        <v>2015</v>
      </c>
      <c r="C309" s="7" t="s">
        <v>112</v>
      </c>
      <c r="D309" s="7" t="s">
        <v>113</v>
      </c>
      <c r="E309" s="7" t="s">
        <v>10</v>
      </c>
      <c r="F309" s="7" t="s">
        <v>92</v>
      </c>
      <c r="G309" s="7" t="s">
        <v>95</v>
      </c>
      <c r="H309" s="8">
        <v>66</v>
      </c>
    </row>
    <row r="310" spans="2:8">
      <c r="B310" s="7">
        <v>2015</v>
      </c>
      <c r="C310" s="7" t="s">
        <v>112</v>
      </c>
      <c r="D310" s="7" t="s">
        <v>113</v>
      </c>
      <c r="E310" s="7" t="s">
        <v>10</v>
      </c>
      <c r="F310" s="7" t="s">
        <v>94</v>
      </c>
      <c r="G310" s="7" t="s">
        <v>93</v>
      </c>
      <c r="H310" s="8">
        <v>2467</v>
      </c>
    </row>
    <row r="311" spans="2:8">
      <c r="B311" s="7">
        <v>2015</v>
      </c>
      <c r="C311" s="7" t="s">
        <v>112</v>
      </c>
      <c r="D311" s="7" t="s">
        <v>113</v>
      </c>
      <c r="E311" s="7" t="s">
        <v>10</v>
      </c>
      <c r="F311" s="7" t="s">
        <v>94</v>
      </c>
      <c r="G311" s="7" t="s">
        <v>95</v>
      </c>
      <c r="H311" s="8">
        <v>1894</v>
      </c>
    </row>
    <row r="312" spans="2:8">
      <c r="B312" s="7">
        <v>2015</v>
      </c>
      <c r="C312" s="7" t="s">
        <v>112</v>
      </c>
      <c r="D312" s="7" t="s">
        <v>114</v>
      </c>
      <c r="E312" s="7" t="s">
        <v>9</v>
      </c>
      <c r="F312" s="7" t="s">
        <v>92</v>
      </c>
      <c r="G312" s="7" t="s">
        <v>93</v>
      </c>
      <c r="H312" s="8">
        <v>1004</v>
      </c>
    </row>
    <row r="313" spans="2:8">
      <c r="B313" s="7">
        <v>2015</v>
      </c>
      <c r="C313" s="7" t="s">
        <v>112</v>
      </c>
      <c r="D313" s="7" t="s">
        <v>114</v>
      </c>
      <c r="E313" s="7" t="s">
        <v>9</v>
      </c>
      <c r="F313" s="7" t="s">
        <v>92</v>
      </c>
      <c r="G313" s="7" t="s">
        <v>95</v>
      </c>
      <c r="H313" s="8">
        <v>598</v>
      </c>
    </row>
    <row r="314" spans="2:8">
      <c r="B314" s="7">
        <v>2015</v>
      </c>
      <c r="C314" s="7" t="s">
        <v>112</v>
      </c>
      <c r="D314" s="7" t="s">
        <v>114</v>
      </c>
      <c r="E314" s="7" t="s">
        <v>9</v>
      </c>
      <c r="F314" s="7" t="s">
        <v>94</v>
      </c>
      <c r="G314" s="7" t="s">
        <v>93</v>
      </c>
      <c r="H314" s="8">
        <v>1930</v>
      </c>
    </row>
    <row r="315" spans="2:8">
      <c r="B315" s="7">
        <v>2015</v>
      </c>
      <c r="C315" s="7" t="s">
        <v>112</v>
      </c>
      <c r="D315" s="7" t="s">
        <v>114</v>
      </c>
      <c r="E315" s="7" t="s">
        <v>9</v>
      </c>
      <c r="F315" s="7" t="s">
        <v>94</v>
      </c>
      <c r="G315" s="7" t="s">
        <v>95</v>
      </c>
      <c r="H315" s="8">
        <v>1726</v>
      </c>
    </row>
    <row r="316" spans="2:8">
      <c r="B316" s="7">
        <v>2015</v>
      </c>
      <c r="C316" s="7" t="s">
        <v>112</v>
      </c>
      <c r="D316" s="7" t="s">
        <v>114</v>
      </c>
      <c r="E316" s="7" t="s">
        <v>10</v>
      </c>
      <c r="F316" s="7" t="s">
        <v>92</v>
      </c>
      <c r="G316" s="7" t="s">
        <v>93</v>
      </c>
      <c r="H316" s="8">
        <v>73</v>
      </c>
    </row>
    <row r="317" spans="2:8">
      <c r="B317" s="7">
        <v>2015</v>
      </c>
      <c r="C317" s="7" t="s">
        <v>112</v>
      </c>
      <c r="D317" s="7" t="s">
        <v>114</v>
      </c>
      <c r="E317" s="7" t="s">
        <v>10</v>
      </c>
      <c r="F317" s="7" t="s">
        <v>92</v>
      </c>
      <c r="G317" s="7" t="s">
        <v>95</v>
      </c>
      <c r="H317" s="8">
        <v>37</v>
      </c>
    </row>
    <row r="318" spans="2:8">
      <c r="B318" s="7">
        <v>2015</v>
      </c>
      <c r="C318" s="7" t="s">
        <v>112</v>
      </c>
      <c r="D318" s="7" t="s">
        <v>114</v>
      </c>
      <c r="E318" s="7" t="s">
        <v>10</v>
      </c>
      <c r="F318" s="7" t="s">
        <v>94</v>
      </c>
      <c r="G318" s="7" t="s">
        <v>93</v>
      </c>
      <c r="H318" s="8">
        <v>1522</v>
      </c>
    </row>
    <row r="319" spans="2:8">
      <c r="B319" s="7">
        <v>2015</v>
      </c>
      <c r="C319" s="7" t="s">
        <v>112</v>
      </c>
      <c r="D319" s="7" t="s">
        <v>114</v>
      </c>
      <c r="E319" s="7" t="s">
        <v>10</v>
      </c>
      <c r="F319" s="7" t="s">
        <v>94</v>
      </c>
      <c r="G319" s="7" t="s">
        <v>95</v>
      </c>
      <c r="H319" s="8">
        <v>1132</v>
      </c>
    </row>
    <row r="320" spans="2:8">
      <c r="B320" s="7">
        <v>2015</v>
      </c>
      <c r="C320" s="7" t="s">
        <v>112</v>
      </c>
      <c r="D320" s="7" t="s">
        <v>115</v>
      </c>
      <c r="E320" s="7" t="s">
        <v>9</v>
      </c>
      <c r="F320" s="7" t="s">
        <v>92</v>
      </c>
      <c r="G320" s="7" t="s">
        <v>93</v>
      </c>
      <c r="H320" s="8">
        <v>587</v>
      </c>
    </row>
    <row r="321" spans="2:8">
      <c r="B321" s="7">
        <v>2015</v>
      </c>
      <c r="C321" s="7" t="s">
        <v>112</v>
      </c>
      <c r="D321" s="7" t="s">
        <v>115</v>
      </c>
      <c r="E321" s="7" t="s">
        <v>9</v>
      </c>
      <c r="F321" s="7" t="s">
        <v>92</v>
      </c>
      <c r="G321" s="7" t="s">
        <v>95</v>
      </c>
      <c r="H321" s="8">
        <v>405</v>
      </c>
    </row>
    <row r="322" spans="2:8">
      <c r="B322" s="7">
        <v>2015</v>
      </c>
      <c r="C322" s="7" t="s">
        <v>112</v>
      </c>
      <c r="D322" s="7" t="s">
        <v>115</v>
      </c>
      <c r="E322" s="7" t="s">
        <v>9</v>
      </c>
      <c r="F322" s="7" t="s">
        <v>94</v>
      </c>
      <c r="G322" s="7" t="s">
        <v>93</v>
      </c>
      <c r="H322" s="8">
        <v>766</v>
      </c>
    </row>
    <row r="323" spans="2:8">
      <c r="B323" s="7">
        <v>2015</v>
      </c>
      <c r="C323" s="7" t="s">
        <v>112</v>
      </c>
      <c r="D323" s="7" t="s">
        <v>115</v>
      </c>
      <c r="E323" s="7" t="s">
        <v>9</v>
      </c>
      <c r="F323" s="7" t="s">
        <v>94</v>
      </c>
      <c r="G323" s="7" t="s">
        <v>95</v>
      </c>
      <c r="H323" s="8">
        <v>679</v>
      </c>
    </row>
    <row r="324" spans="2:8">
      <c r="B324" s="7">
        <v>2015</v>
      </c>
      <c r="C324" s="7" t="s">
        <v>112</v>
      </c>
      <c r="D324" s="7" t="s">
        <v>115</v>
      </c>
      <c r="E324" s="7" t="s">
        <v>10</v>
      </c>
      <c r="F324" s="7" t="s">
        <v>92</v>
      </c>
      <c r="G324" s="7" t="s">
        <v>93</v>
      </c>
      <c r="H324" s="8">
        <v>164</v>
      </c>
    </row>
    <row r="325" spans="2:8">
      <c r="B325" s="7">
        <v>2015</v>
      </c>
      <c r="C325" s="7" t="s">
        <v>112</v>
      </c>
      <c r="D325" s="7" t="s">
        <v>115</v>
      </c>
      <c r="E325" s="7" t="s">
        <v>10</v>
      </c>
      <c r="F325" s="7" t="s">
        <v>92</v>
      </c>
      <c r="G325" s="7" t="s">
        <v>95</v>
      </c>
      <c r="H325" s="8">
        <v>124</v>
      </c>
    </row>
    <row r="326" spans="2:8">
      <c r="B326" s="7">
        <v>2015</v>
      </c>
      <c r="C326" s="7" t="s">
        <v>112</v>
      </c>
      <c r="D326" s="7" t="s">
        <v>115</v>
      </c>
      <c r="E326" s="7" t="s">
        <v>10</v>
      </c>
      <c r="F326" s="7" t="s">
        <v>94</v>
      </c>
      <c r="G326" s="7" t="s">
        <v>93</v>
      </c>
      <c r="H326" s="8">
        <v>256</v>
      </c>
    </row>
    <row r="327" spans="2:8">
      <c r="B327" s="7">
        <v>2015</v>
      </c>
      <c r="C327" s="7" t="s">
        <v>112</v>
      </c>
      <c r="D327" s="7" t="s">
        <v>115</v>
      </c>
      <c r="E327" s="7" t="s">
        <v>10</v>
      </c>
      <c r="F327" s="7" t="s">
        <v>94</v>
      </c>
      <c r="G327" s="7" t="s">
        <v>95</v>
      </c>
      <c r="H327" s="8">
        <v>192</v>
      </c>
    </row>
    <row r="328" spans="2:8">
      <c r="B328" s="7">
        <v>2015</v>
      </c>
      <c r="C328" s="7" t="s">
        <v>112</v>
      </c>
      <c r="D328" s="7" t="s">
        <v>116</v>
      </c>
      <c r="E328" s="7" t="s">
        <v>9</v>
      </c>
      <c r="F328" s="7" t="s">
        <v>92</v>
      </c>
      <c r="G328" s="7" t="s">
        <v>93</v>
      </c>
      <c r="H328" s="8">
        <v>630</v>
      </c>
    </row>
    <row r="329" spans="2:8">
      <c r="B329" s="7">
        <v>2015</v>
      </c>
      <c r="C329" s="7" t="s">
        <v>112</v>
      </c>
      <c r="D329" s="7" t="s">
        <v>116</v>
      </c>
      <c r="E329" s="7" t="s">
        <v>9</v>
      </c>
      <c r="F329" s="7" t="s">
        <v>92</v>
      </c>
      <c r="G329" s="7" t="s">
        <v>95</v>
      </c>
      <c r="H329" s="8">
        <v>393</v>
      </c>
    </row>
    <row r="330" spans="2:8">
      <c r="B330" s="7">
        <v>2015</v>
      </c>
      <c r="C330" s="7" t="s">
        <v>112</v>
      </c>
      <c r="D330" s="7" t="s">
        <v>116</v>
      </c>
      <c r="E330" s="7" t="s">
        <v>9</v>
      </c>
      <c r="F330" s="7" t="s">
        <v>94</v>
      </c>
      <c r="G330" s="7" t="s">
        <v>93</v>
      </c>
      <c r="H330" s="8">
        <v>1160</v>
      </c>
    </row>
    <row r="331" spans="2:8">
      <c r="B331" s="7">
        <v>2015</v>
      </c>
      <c r="C331" s="7" t="s">
        <v>112</v>
      </c>
      <c r="D331" s="7" t="s">
        <v>116</v>
      </c>
      <c r="E331" s="7" t="s">
        <v>9</v>
      </c>
      <c r="F331" s="7" t="s">
        <v>94</v>
      </c>
      <c r="G331" s="7" t="s">
        <v>95</v>
      </c>
      <c r="H331" s="8">
        <v>879</v>
      </c>
    </row>
    <row r="332" spans="2:8">
      <c r="B332" s="7">
        <v>2015</v>
      </c>
      <c r="C332" s="7" t="s">
        <v>112</v>
      </c>
      <c r="D332" s="7" t="s">
        <v>116</v>
      </c>
      <c r="E332" s="7" t="s">
        <v>10</v>
      </c>
      <c r="F332" s="7" t="s">
        <v>92</v>
      </c>
      <c r="G332" s="7" t="s">
        <v>93</v>
      </c>
      <c r="H332" s="8">
        <v>70</v>
      </c>
    </row>
    <row r="333" spans="2:8">
      <c r="B333" s="7">
        <v>2015</v>
      </c>
      <c r="C333" s="7" t="s">
        <v>112</v>
      </c>
      <c r="D333" s="7" t="s">
        <v>116</v>
      </c>
      <c r="E333" s="7" t="s">
        <v>10</v>
      </c>
      <c r="F333" s="7" t="s">
        <v>92</v>
      </c>
      <c r="G333" s="7" t="s">
        <v>95</v>
      </c>
      <c r="H333" s="8">
        <v>23</v>
      </c>
    </row>
    <row r="334" spans="2:8">
      <c r="B334" s="7">
        <v>2015</v>
      </c>
      <c r="C334" s="7" t="s">
        <v>112</v>
      </c>
      <c r="D334" s="7" t="s">
        <v>116</v>
      </c>
      <c r="E334" s="7" t="s">
        <v>10</v>
      </c>
      <c r="F334" s="7" t="s">
        <v>94</v>
      </c>
      <c r="G334" s="7" t="s">
        <v>93</v>
      </c>
      <c r="H334" s="8">
        <v>118</v>
      </c>
    </row>
    <row r="335" spans="2:8">
      <c r="B335" s="7">
        <v>2015</v>
      </c>
      <c r="C335" s="7" t="s">
        <v>112</v>
      </c>
      <c r="D335" s="7" t="s">
        <v>116</v>
      </c>
      <c r="E335" s="7" t="s">
        <v>10</v>
      </c>
      <c r="F335" s="7" t="s">
        <v>94</v>
      </c>
      <c r="G335" s="7" t="s">
        <v>95</v>
      </c>
      <c r="H335" s="8">
        <v>75</v>
      </c>
    </row>
    <row r="336" spans="2:8">
      <c r="B336" s="7">
        <v>2015</v>
      </c>
      <c r="C336" s="7" t="s">
        <v>117</v>
      </c>
      <c r="D336" s="7" t="s">
        <v>118</v>
      </c>
      <c r="E336" s="7" t="s">
        <v>9</v>
      </c>
      <c r="F336" s="7" t="s">
        <v>92</v>
      </c>
      <c r="G336" s="7" t="s">
        <v>93</v>
      </c>
      <c r="H336" s="8">
        <v>784</v>
      </c>
    </row>
    <row r="337" spans="2:8">
      <c r="B337" s="7">
        <v>2015</v>
      </c>
      <c r="C337" s="7" t="s">
        <v>117</v>
      </c>
      <c r="D337" s="7" t="s">
        <v>118</v>
      </c>
      <c r="E337" s="7" t="s">
        <v>9</v>
      </c>
      <c r="F337" s="7" t="s">
        <v>92</v>
      </c>
      <c r="G337" s="7" t="s">
        <v>95</v>
      </c>
      <c r="H337" s="8">
        <v>454</v>
      </c>
    </row>
    <row r="338" spans="2:8">
      <c r="B338" s="7">
        <v>2015</v>
      </c>
      <c r="C338" s="7" t="s">
        <v>117</v>
      </c>
      <c r="D338" s="7" t="s">
        <v>118</v>
      </c>
      <c r="E338" s="7" t="s">
        <v>9</v>
      </c>
      <c r="F338" s="7" t="s">
        <v>94</v>
      </c>
      <c r="G338" s="7" t="s">
        <v>93</v>
      </c>
      <c r="H338" s="8">
        <v>1071</v>
      </c>
    </row>
    <row r="339" spans="2:8">
      <c r="B339" s="7">
        <v>2015</v>
      </c>
      <c r="C339" s="7" t="s">
        <v>117</v>
      </c>
      <c r="D339" s="7" t="s">
        <v>118</v>
      </c>
      <c r="E339" s="7" t="s">
        <v>9</v>
      </c>
      <c r="F339" s="7" t="s">
        <v>94</v>
      </c>
      <c r="G339" s="7" t="s">
        <v>95</v>
      </c>
      <c r="H339" s="8">
        <v>975</v>
      </c>
    </row>
    <row r="340" spans="2:8">
      <c r="B340" s="7">
        <v>2015</v>
      </c>
      <c r="C340" s="7" t="s">
        <v>117</v>
      </c>
      <c r="D340" s="7" t="s">
        <v>118</v>
      </c>
      <c r="E340" s="7" t="s">
        <v>10</v>
      </c>
      <c r="F340" s="7" t="s">
        <v>92</v>
      </c>
      <c r="G340" s="7" t="s">
        <v>93</v>
      </c>
      <c r="H340" s="8">
        <v>54</v>
      </c>
    </row>
    <row r="341" spans="2:8">
      <c r="B341" s="7">
        <v>2015</v>
      </c>
      <c r="C341" s="7" t="s">
        <v>117</v>
      </c>
      <c r="D341" s="7" t="s">
        <v>118</v>
      </c>
      <c r="E341" s="7" t="s">
        <v>10</v>
      </c>
      <c r="F341" s="7" t="s">
        <v>92</v>
      </c>
      <c r="G341" s="7" t="s">
        <v>95</v>
      </c>
      <c r="H341" s="8">
        <v>20</v>
      </c>
    </row>
    <row r="342" spans="2:8">
      <c r="B342" s="7">
        <v>2015</v>
      </c>
      <c r="C342" s="7" t="s">
        <v>117</v>
      </c>
      <c r="D342" s="7" t="s">
        <v>118</v>
      </c>
      <c r="E342" s="7" t="s">
        <v>10</v>
      </c>
      <c r="F342" s="7" t="s">
        <v>94</v>
      </c>
      <c r="G342" s="7" t="s">
        <v>93</v>
      </c>
      <c r="H342" s="8">
        <v>617</v>
      </c>
    </row>
    <row r="343" spans="2:8">
      <c r="B343" s="7">
        <v>2015</v>
      </c>
      <c r="C343" s="7" t="s">
        <v>117</v>
      </c>
      <c r="D343" s="7" t="s">
        <v>118</v>
      </c>
      <c r="E343" s="7" t="s">
        <v>10</v>
      </c>
      <c r="F343" s="7" t="s">
        <v>94</v>
      </c>
      <c r="G343" s="7" t="s">
        <v>95</v>
      </c>
      <c r="H343" s="8">
        <v>457</v>
      </c>
    </row>
    <row r="344" spans="2:8">
      <c r="B344" s="7">
        <v>2015</v>
      </c>
      <c r="C344" s="7" t="s">
        <v>117</v>
      </c>
      <c r="D344" s="7" t="s">
        <v>119</v>
      </c>
      <c r="E344" s="7" t="s">
        <v>9</v>
      </c>
      <c r="F344" s="7" t="s">
        <v>92</v>
      </c>
      <c r="G344" s="7" t="s">
        <v>93</v>
      </c>
      <c r="H344" s="8">
        <v>3203</v>
      </c>
    </row>
    <row r="345" spans="2:8">
      <c r="B345" s="7">
        <v>2015</v>
      </c>
      <c r="C345" s="7" t="s">
        <v>117</v>
      </c>
      <c r="D345" s="7" t="s">
        <v>119</v>
      </c>
      <c r="E345" s="7" t="s">
        <v>9</v>
      </c>
      <c r="F345" s="7" t="s">
        <v>92</v>
      </c>
      <c r="G345" s="7" t="s">
        <v>95</v>
      </c>
      <c r="H345" s="8">
        <v>1856</v>
      </c>
    </row>
    <row r="346" spans="2:8">
      <c r="B346" s="7">
        <v>2015</v>
      </c>
      <c r="C346" s="7" t="s">
        <v>117</v>
      </c>
      <c r="D346" s="7" t="s">
        <v>119</v>
      </c>
      <c r="E346" s="7" t="s">
        <v>9</v>
      </c>
      <c r="F346" s="7" t="s">
        <v>94</v>
      </c>
      <c r="G346" s="7" t="s">
        <v>93</v>
      </c>
      <c r="H346" s="8">
        <v>7497</v>
      </c>
    </row>
    <row r="347" spans="2:8">
      <c r="B347" s="7">
        <v>2015</v>
      </c>
      <c r="C347" s="7" t="s">
        <v>117</v>
      </c>
      <c r="D347" s="7" t="s">
        <v>119</v>
      </c>
      <c r="E347" s="7" t="s">
        <v>9</v>
      </c>
      <c r="F347" s="7" t="s">
        <v>94</v>
      </c>
      <c r="G347" s="7" t="s">
        <v>95</v>
      </c>
      <c r="H347" s="8">
        <v>6382</v>
      </c>
    </row>
    <row r="348" spans="2:8">
      <c r="B348" s="7">
        <v>2015</v>
      </c>
      <c r="C348" s="7" t="s">
        <v>117</v>
      </c>
      <c r="D348" s="7" t="s">
        <v>119</v>
      </c>
      <c r="E348" s="7" t="s">
        <v>10</v>
      </c>
      <c r="F348" s="7" t="s">
        <v>92</v>
      </c>
      <c r="G348" s="7" t="s">
        <v>93</v>
      </c>
      <c r="H348" s="8">
        <v>250</v>
      </c>
    </row>
    <row r="349" spans="2:8">
      <c r="B349" s="7">
        <v>2015</v>
      </c>
      <c r="C349" s="7" t="s">
        <v>117</v>
      </c>
      <c r="D349" s="7" t="s">
        <v>119</v>
      </c>
      <c r="E349" s="7" t="s">
        <v>10</v>
      </c>
      <c r="F349" s="7" t="s">
        <v>92</v>
      </c>
      <c r="G349" s="7" t="s">
        <v>95</v>
      </c>
      <c r="H349" s="8">
        <v>177</v>
      </c>
    </row>
    <row r="350" spans="2:8">
      <c r="B350" s="7">
        <v>2015</v>
      </c>
      <c r="C350" s="7" t="s">
        <v>117</v>
      </c>
      <c r="D350" s="7" t="s">
        <v>119</v>
      </c>
      <c r="E350" s="7" t="s">
        <v>10</v>
      </c>
      <c r="F350" s="7" t="s">
        <v>94</v>
      </c>
      <c r="G350" s="7" t="s">
        <v>93</v>
      </c>
      <c r="H350" s="8">
        <v>5058</v>
      </c>
    </row>
    <row r="351" spans="2:8">
      <c r="B351" s="7">
        <v>2015</v>
      </c>
      <c r="C351" s="7" t="s">
        <v>117</v>
      </c>
      <c r="D351" s="7" t="s">
        <v>119</v>
      </c>
      <c r="E351" s="7" t="s">
        <v>10</v>
      </c>
      <c r="F351" s="7" t="s">
        <v>94</v>
      </c>
      <c r="G351" s="7" t="s">
        <v>95</v>
      </c>
      <c r="H351" s="8">
        <v>3615</v>
      </c>
    </row>
    <row r="352" spans="2:8">
      <c r="B352" s="7">
        <v>2015</v>
      </c>
      <c r="C352" s="7" t="s">
        <v>117</v>
      </c>
      <c r="D352" s="7" t="s">
        <v>120</v>
      </c>
      <c r="E352" s="7" t="s">
        <v>9</v>
      </c>
      <c r="F352" s="7" t="s">
        <v>92</v>
      </c>
      <c r="G352" s="7" t="s">
        <v>93</v>
      </c>
      <c r="H352" s="8">
        <v>1786</v>
      </c>
    </row>
    <row r="353" spans="2:8">
      <c r="B353" s="7">
        <v>2015</v>
      </c>
      <c r="C353" s="7" t="s">
        <v>117</v>
      </c>
      <c r="D353" s="7" t="s">
        <v>120</v>
      </c>
      <c r="E353" s="7" t="s">
        <v>9</v>
      </c>
      <c r="F353" s="7" t="s">
        <v>92</v>
      </c>
      <c r="G353" s="7" t="s">
        <v>95</v>
      </c>
      <c r="H353" s="8">
        <v>1335</v>
      </c>
    </row>
    <row r="354" spans="2:8">
      <c r="B354" s="7">
        <v>2015</v>
      </c>
      <c r="C354" s="7" t="s">
        <v>117</v>
      </c>
      <c r="D354" s="7" t="s">
        <v>120</v>
      </c>
      <c r="E354" s="7" t="s">
        <v>9</v>
      </c>
      <c r="F354" s="7" t="s">
        <v>94</v>
      </c>
      <c r="G354" s="7" t="s">
        <v>93</v>
      </c>
      <c r="H354" s="8">
        <v>5110</v>
      </c>
    </row>
    <row r="355" spans="2:8">
      <c r="B355" s="7">
        <v>2015</v>
      </c>
      <c r="C355" s="7" t="s">
        <v>117</v>
      </c>
      <c r="D355" s="7" t="s">
        <v>120</v>
      </c>
      <c r="E355" s="7" t="s">
        <v>9</v>
      </c>
      <c r="F355" s="7" t="s">
        <v>94</v>
      </c>
      <c r="G355" s="7" t="s">
        <v>95</v>
      </c>
      <c r="H355" s="8">
        <v>4466</v>
      </c>
    </row>
    <row r="356" spans="2:8">
      <c r="B356" s="7">
        <v>2015</v>
      </c>
      <c r="C356" s="7" t="s">
        <v>117</v>
      </c>
      <c r="D356" s="7" t="s">
        <v>120</v>
      </c>
      <c r="E356" s="7" t="s">
        <v>10</v>
      </c>
      <c r="F356" s="7" t="s">
        <v>92</v>
      </c>
      <c r="G356" s="7" t="s">
        <v>93</v>
      </c>
      <c r="H356" s="8">
        <v>95</v>
      </c>
    </row>
    <row r="357" spans="2:8">
      <c r="B357" s="7">
        <v>2015</v>
      </c>
      <c r="C357" s="7" t="s">
        <v>117</v>
      </c>
      <c r="D357" s="7" t="s">
        <v>120</v>
      </c>
      <c r="E357" s="7" t="s">
        <v>10</v>
      </c>
      <c r="F357" s="7" t="s">
        <v>92</v>
      </c>
      <c r="G357" s="7" t="s">
        <v>95</v>
      </c>
      <c r="H357" s="8">
        <v>63</v>
      </c>
    </row>
    <row r="358" spans="2:8">
      <c r="B358" s="7">
        <v>2015</v>
      </c>
      <c r="C358" s="7" t="s">
        <v>117</v>
      </c>
      <c r="D358" s="7" t="s">
        <v>120</v>
      </c>
      <c r="E358" s="7" t="s">
        <v>10</v>
      </c>
      <c r="F358" s="7" t="s">
        <v>94</v>
      </c>
      <c r="G358" s="7" t="s">
        <v>93</v>
      </c>
      <c r="H358" s="8">
        <v>1070</v>
      </c>
    </row>
    <row r="359" spans="2:8">
      <c r="B359" s="7">
        <v>2015</v>
      </c>
      <c r="C359" s="7" t="s">
        <v>117</v>
      </c>
      <c r="D359" s="7" t="s">
        <v>120</v>
      </c>
      <c r="E359" s="7" t="s">
        <v>10</v>
      </c>
      <c r="F359" s="7" t="s">
        <v>94</v>
      </c>
      <c r="G359" s="7" t="s">
        <v>95</v>
      </c>
      <c r="H359" s="8">
        <v>831</v>
      </c>
    </row>
    <row r="360" spans="2:8">
      <c r="B360" s="7">
        <v>2015</v>
      </c>
      <c r="C360" s="7" t="s">
        <v>117</v>
      </c>
      <c r="D360" s="7" t="s">
        <v>121</v>
      </c>
      <c r="E360" s="7" t="s">
        <v>9</v>
      </c>
      <c r="F360" s="7" t="s">
        <v>92</v>
      </c>
      <c r="G360" s="7" t="s">
        <v>93</v>
      </c>
      <c r="H360" s="8">
        <v>4680</v>
      </c>
    </row>
    <row r="361" spans="2:8">
      <c r="B361" s="7">
        <v>2015</v>
      </c>
      <c r="C361" s="7" t="s">
        <v>117</v>
      </c>
      <c r="D361" s="7" t="s">
        <v>121</v>
      </c>
      <c r="E361" s="7" t="s">
        <v>9</v>
      </c>
      <c r="F361" s="7" t="s">
        <v>92</v>
      </c>
      <c r="G361" s="7" t="s">
        <v>95</v>
      </c>
      <c r="H361" s="8">
        <v>2343</v>
      </c>
    </row>
    <row r="362" spans="2:8">
      <c r="B362" s="7">
        <v>2015</v>
      </c>
      <c r="C362" s="7" t="s">
        <v>117</v>
      </c>
      <c r="D362" s="7" t="s">
        <v>121</v>
      </c>
      <c r="E362" s="7" t="s">
        <v>9</v>
      </c>
      <c r="F362" s="7" t="s">
        <v>94</v>
      </c>
      <c r="G362" s="7" t="s">
        <v>93</v>
      </c>
      <c r="H362" s="8">
        <v>23769</v>
      </c>
    </row>
    <row r="363" spans="2:8">
      <c r="B363" s="7">
        <v>2015</v>
      </c>
      <c r="C363" s="7" t="s">
        <v>117</v>
      </c>
      <c r="D363" s="7" t="s">
        <v>121</v>
      </c>
      <c r="E363" s="7" t="s">
        <v>9</v>
      </c>
      <c r="F363" s="7" t="s">
        <v>94</v>
      </c>
      <c r="G363" s="7" t="s">
        <v>95</v>
      </c>
      <c r="H363" s="8">
        <v>19141</v>
      </c>
    </row>
    <row r="364" spans="2:8">
      <c r="B364" s="7">
        <v>2015</v>
      </c>
      <c r="C364" s="7" t="s">
        <v>117</v>
      </c>
      <c r="D364" s="7" t="s">
        <v>121</v>
      </c>
      <c r="E364" s="7" t="s">
        <v>10</v>
      </c>
      <c r="F364" s="7" t="s">
        <v>92</v>
      </c>
      <c r="G364" s="7" t="s">
        <v>93</v>
      </c>
      <c r="H364" s="8">
        <v>846</v>
      </c>
    </row>
    <row r="365" spans="2:8">
      <c r="B365" s="7">
        <v>2015</v>
      </c>
      <c r="C365" s="7" t="s">
        <v>117</v>
      </c>
      <c r="D365" s="7" t="s">
        <v>121</v>
      </c>
      <c r="E365" s="7" t="s">
        <v>10</v>
      </c>
      <c r="F365" s="7" t="s">
        <v>92</v>
      </c>
      <c r="G365" s="7" t="s">
        <v>95</v>
      </c>
      <c r="H365" s="8">
        <v>566</v>
      </c>
    </row>
    <row r="366" spans="2:8">
      <c r="B366" s="7">
        <v>2015</v>
      </c>
      <c r="C366" s="7" t="s">
        <v>117</v>
      </c>
      <c r="D366" s="7" t="s">
        <v>121</v>
      </c>
      <c r="E366" s="7" t="s">
        <v>10</v>
      </c>
      <c r="F366" s="7" t="s">
        <v>94</v>
      </c>
      <c r="G366" s="7" t="s">
        <v>93</v>
      </c>
      <c r="H366" s="8">
        <v>9374</v>
      </c>
    </row>
    <row r="367" spans="2:8">
      <c r="B367" s="7">
        <v>2015</v>
      </c>
      <c r="C367" s="7" t="s">
        <v>117</v>
      </c>
      <c r="D367" s="7" t="s">
        <v>121</v>
      </c>
      <c r="E367" s="7" t="s">
        <v>10</v>
      </c>
      <c r="F367" s="7" t="s">
        <v>94</v>
      </c>
      <c r="G367" s="7" t="s">
        <v>95</v>
      </c>
      <c r="H367" s="8">
        <v>7766</v>
      </c>
    </row>
    <row r="368" spans="2:8">
      <c r="B368" s="7">
        <v>2015</v>
      </c>
      <c r="C368" s="7" t="s">
        <v>122</v>
      </c>
      <c r="D368" s="7" t="s">
        <v>123</v>
      </c>
      <c r="E368" s="7" t="s">
        <v>9</v>
      </c>
      <c r="F368" s="7" t="s">
        <v>92</v>
      </c>
      <c r="G368" s="7" t="s">
        <v>93</v>
      </c>
      <c r="H368" s="8">
        <v>1566</v>
      </c>
    </row>
    <row r="369" spans="2:8">
      <c r="B369" s="7">
        <v>2015</v>
      </c>
      <c r="C369" s="7" t="s">
        <v>122</v>
      </c>
      <c r="D369" s="7" t="s">
        <v>123</v>
      </c>
      <c r="E369" s="7" t="s">
        <v>9</v>
      </c>
      <c r="F369" s="7" t="s">
        <v>92</v>
      </c>
      <c r="G369" s="7" t="s">
        <v>95</v>
      </c>
      <c r="H369" s="8">
        <v>1068</v>
      </c>
    </row>
    <row r="370" spans="2:8">
      <c r="B370" s="7">
        <v>2015</v>
      </c>
      <c r="C370" s="7" t="s">
        <v>122</v>
      </c>
      <c r="D370" s="7" t="s">
        <v>123</v>
      </c>
      <c r="E370" s="7" t="s">
        <v>9</v>
      </c>
      <c r="F370" s="7" t="s">
        <v>94</v>
      </c>
      <c r="G370" s="7" t="s">
        <v>93</v>
      </c>
      <c r="H370" s="8">
        <v>4024</v>
      </c>
    </row>
    <row r="371" spans="2:8">
      <c r="B371" s="7">
        <v>2015</v>
      </c>
      <c r="C371" s="7" t="s">
        <v>122</v>
      </c>
      <c r="D371" s="7" t="s">
        <v>123</v>
      </c>
      <c r="E371" s="7" t="s">
        <v>9</v>
      </c>
      <c r="F371" s="7" t="s">
        <v>94</v>
      </c>
      <c r="G371" s="7" t="s">
        <v>95</v>
      </c>
      <c r="H371" s="8">
        <v>3713</v>
      </c>
    </row>
    <row r="372" spans="2:8">
      <c r="B372" s="7">
        <v>2015</v>
      </c>
      <c r="C372" s="7" t="s">
        <v>122</v>
      </c>
      <c r="D372" s="7" t="s">
        <v>123</v>
      </c>
      <c r="E372" s="7" t="s">
        <v>10</v>
      </c>
      <c r="F372" s="7" t="s">
        <v>92</v>
      </c>
      <c r="G372" s="7" t="s">
        <v>93</v>
      </c>
      <c r="H372" s="8">
        <v>556</v>
      </c>
    </row>
    <row r="373" spans="2:8">
      <c r="B373" s="7">
        <v>2015</v>
      </c>
      <c r="C373" s="7" t="s">
        <v>122</v>
      </c>
      <c r="D373" s="7" t="s">
        <v>123</v>
      </c>
      <c r="E373" s="7" t="s">
        <v>10</v>
      </c>
      <c r="F373" s="7" t="s">
        <v>92</v>
      </c>
      <c r="G373" s="7" t="s">
        <v>95</v>
      </c>
      <c r="H373" s="8">
        <v>302</v>
      </c>
    </row>
    <row r="374" spans="2:8">
      <c r="B374" s="7">
        <v>2015</v>
      </c>
      <c r="C374" s="7" t="s">
        <v>122</v>
      </c>
      <c r="D374" s="7" t="s">
        <v>123</v>
      </c>
      <c r="E374" s="7" t="s">
        <v>10</v>
      </c>
      <c r="F374" s="7" t="s">
        <v>94</v>
      </c>
      <c r="G374" s="7" t="s">
        <v>93</v>
      </c>
      <c r="H374" s="8">
        <v>3038</v>
      </c>
    </row>
    <row r="375" spans="2:8">
      <c r="B375" s="7">
        <v>2015</v>
      </c>
      <c r="C375" s="7" t="s">
        <v>122</v>
      </c>
      <c r="D375" s="7" t="s">
        <v>123</v>
      </c>
      <c r="E375" s="7" t="s">
        <v>10</v>
      </c>
      <c r="F375" s="7" t="s">
        <v>94</v>
      </c>
      <c r="G375" s="7" t="s">
        <v>95</v>
      </c>
      <c r="H375" s="8">
        <v>2647</v>
      </c>
    </row>
    <row r="376" spans="2:8">
      <c r="B376" s="7">
        <v>2015</v>
      </c>
      <c r="C376" s="7" t="s">
        <v>122</v>
      </c>
      <c r="D376" s="7" t="s">
        <v>124</v>
      </c>
      <c r="E376" s="7" t="s">
        <v>9</v>
      </c>
      <c r="F376" s="7" t="s">
        <v>92</v>
      </c>
      <c r="G376" s="7" t="s">
        <v>93</v>
      </c>
      <c r="H376" s="8">
        <v>2215</v>
      </c>
    </row>
    <row r="377" spans="2:8">
      <c r="B377" s="7">
        <v>2015</v>
      </c>
      <c r="C377" s="7" t="s">
        <v>122</v>
      </c>
      <c r="D377" s="7" t="s">
        <v>124</v>
      </c>
      <c r="E377" s="7" t="s">
        <v>9</v>
      </c>
      <c r="F377" s="7" t="s">
        <v>92</v>
      </c>
      <c r="G377" s="7" t="s">
        <v>95</v>
      </c>
      <c r="H377" s="8">
        <v>1399</v>
      </c>
    </row>
    <row r="378" spans="2:8">
      <c r="B378" s="7">
        <v>2015</v>
      </c>
      <c r="C378" s="7" t="s">
        <v>122</v>
      </c>
      <c r="D378" s="7" t="s">
        <v>124</v>
      </c>
      <c r="E378" s="7" t="s">
        <v>9</v>
      </c>
      <c r="F378" s="7" t="s">
        <v>94</v>
      </c>
      <c r="G378" s="7" t="s">
        <v>93</v>
      </c>
      <c r="H378" s="8">
        <v>8230</v>
      </c>
    </row>
    <row r="379" spans="2:8">
      <c r="B379" s="7">
        <v>2015</v>
      </c>
      <c r="C379" s="7" t="s">
        <v>122</v>
      </c>
      <c r="D379" s="7" t="s">
        <v>124</v>
      </c>
      <c r="E379" s="7" t="s">
        <v>9</v>
      </c>
      <c r="F379" s="7" t="s">
        <v>94</v>
      </c>
      <c r="G379" s="7" t="s">
        <v>95</v>
      </c>
      <c r="H379" s="8">
        <v>6846</v>
      </c>
    </row>
    <row r="380" spans="2:8">
      <c r="B380" s="7">
        <v>2015</v>
      </c>
      <c r="C380" s="7" t="s">
        <v>122</v>
      </c>
      <c r="D380" s="7" t="s">
        <v>124</v>
      </c>
      <c r="E380" s="7" t="s">
        <v>10</v>
      </c>
      <c r="F380" s="7" t="s">
        <v>92</v>
      </c>
      <c r="G380" s="7" t="s">
        <v>93</v>
      </c>
      <c r="H380" s="8">
        <v>361</v>
      </c>
    </row>
    <row r="381" spans="2:8">
      <c r="B381" s="7">
        <v>2015</v>
      </c>
      <c r="C381" s="7" t="s">
        <v>122</v>
      </c>
      <c r="D381" s="7" t="s">
        <v>124</v>
      </c>
      <c r="E381" s="7" t="s">
        <v>10</v>
      </c>
      <c r="F381" s="7" t="s">
        <v>92</v>
      </c>
      <c r="G381" s="7" t="s">
        <v>95</v>
      </c>
      <c r="H381" s="8">
        <v>251</v>
      </c>
    </row>
    <row r="382" spans="2:8">
      <c r="B382" s="7">
        <v>2015</v>
      </c>
      <c r="C382" s="7" t="s">
        <v>122</v>
      </c>
      <c r="D382" s="7" t="s">
        <v>124</v>
      </c>
      <c r="E382" s="7" t="s">
        <v>10</v>
      </c>
      <c r="F382" s="7" t="s">
        <v>94</v>
      </c>
      <c r="G382" s="7" t="s">
        <v>93</v>
      </c>
      <c r="H382" s="8">
        <v>1705</v>
      </c>
    </row>
    <row r="383" spans="2:8">
      <c r="B383" s="7">
        <v>2015</v>
      </c>
      <c r="C383" s="7" t="s">
        <v>122</v>
      </c>
      <c r="D383" s="7" t="s">
        <v>124</v>
      </c>
      <c r="E383" s="7" t="s">
        <v>10</v>
      </c>
      <c r="F383" s="7" t="s">
        <v>94</v>
      </c>
      <c r="G383" s="7" t="s">
        <v>95</v>
      </c>
      <c r="H383" s="8">
        <v>1325</v>
      </c>
    </row>
    <row r="384" spans="2:8">
      <c r="B384" s="7">
        <v>2015</v>
      </c>
      <c r="C384" s="7" t="s">
        <v>122</v>
      </c>
      <c r="D384" s="7" t="s">
        <v>125</v>
      </c>
      <c r="E384" s="7" t="s">
        <v>9</v>
      </c>
      <c r="F384" s="7" t="s">
        <v>92</v>
      </c>
      <c r="G384" s="7" t="s">
        <v>93</v>
      </c>
      <c r="H384" s="8">
        <v>1913</v>
      </c>
    </row>
    <row r="385" spans="2:8">
      <c r="B385" s="7">
        <v>2015</v>
      </c>
      <c r="C385" s="7" t="s">
        <v>122</v>
      </c>
      <c r="D385" s="7" t="s">
        <v>125</v>
      </c>
      <c r="E385" s="7" t="s">
        <v>9</v>
      </c>
      <c r="F385" s="7" t="s">
        <v>92</v>
      </c>
      <c r="G385" s="7" t="s">
        <v>95</v>
      </c>
      <c r="H385" s="8">
        <v>803</v>
      </c>
    </row>
    <row r="386" spans="2:8">
      <c r="B386" s="7">
        <v>2015</v>
      </c>
      <c r="C386" s="7" t="s">
        <v>122</v>
      </c>
      <c r="D386" s="7" t="s">
        <v>125</v>
      </c>
      <c r="E386" s="7" t="s">
        <v>9</v>
      </c>
      <c r="F386" s="7" t="s">
        <v>94</v>
      </c>
      <c r="G386" s="7" t="s">
        <v>93</v>
      </c>
      <c r="H386" s="8">
        <v>3481</v>
      </c>
    </row>
    <row r="387" spans="2:8">
      <c r="B387" s="7">
        <v>2015</v>
      </c>
      <c r="C387" s="7" t="s">
        <v>122</v>
      </c>
      <c r="D387" s="7" t="s">
        <v>125</v>
      </c>
      <c r="E387" s="7" t="s">
        <v>9</v>
      </c>
      <c r="F387" s="7" t="s">
        <v>94</v>
      </c>
      <c r="G387" s="7" t="s">
        <v>95</v>
      </c>
      <c r="H387" s="8">
        <v>2593</v>
      </c>
    </row>
    <row r="388" spans="2:8">
      <c r="B388" s="7">
        <v>2015</v>
      </c>
      <c r="C388" s="7" t="s">
        <v>122</v>
      </c>
      <c r="D388" s="7" t="s">
        <v>125</v>
      </c>
      <c r="E388" s="7" t="s">
        <v>10</v>
      </c>
      <c r="F388" s="7" t="s">
        <v>92</v>
      </c>
      <c r="G388" s="7" t="s">
        <v>93</v>
      </c>
      <c r="H388" s="8">
        <v>137</v>
      </c>
    </row>
    <row r="389" spans="2:8">
      <c r="B389" s="7">
        <v>2015</v>
      </c>
      <c r="C389" s="7" t="s">
        <v>122</v>
      </c>
      <c r="D389" s="7" t="s">
        <v>125</v>
      </c>
      <c r="E389" s="7" t="s">
        <v>10</v>
      </c>
      <c r="F389" s="7" t="s">
        <v>92</v>
      </c>
      <c r="G389" s="7" t="s">
        <v>95</v>
      </c>
      <c r="H389" s="8">
        <v>58</v>
      </c>
    </row>
    <row r="390" spans="2:8">
      <c r="B390" s="7">
        <v>2015</v>
      </c>
      <c r="C390" s="7" t="s">
        <v>122</v>
      </c>
      <c r="D390" s="7" t="s">
        <v>125</v>
      </c>
      <c r="E390" s="7" t="s">
        <v>10</v>
      </c>
      <c r="F390" s="7" t="s">
        <v>94</v>
      </c>
      <c r="G390" s="7" t="s">
        <v>93</v>
      </c>
      <c r="H390" s="8">
        <v>836</v>
      </c>
    </row>
    <row r="391" spans="2:8">
      <c r="B391" s="7">
        <v>2015</v>
      </c>
      <c r="C391" s="7" t="s">
        <v>122</v>
      </c>
      <c r="D391" s="7" t="s">
        <v>125</v>
      </c>
      <c r="E391" s="7" t="s">
        <v>10</v>
      </c>
      <c r="F391" s="7" t="s">
        <v>94</v>
      </c>
      <c r="G391" s="7" t="s">
        <v>95</v>
      </c>
      <c r="H391" s="8">
        <v>560</v>
      </c>
    </row>
    <row r="392" spans="2:8">
      <c r="B392" s="7">
        <v>2015</v>
      </c>
      <c r="C392" s="7" t="s">
        <v>126</v>
      </c>
      <c r="D392" s="7" t="s">
        <v>127</v>
      </c>
      <c r="E392" s="7" t="s">
        <v>9</v>
      </c>
      <c r="F392" s="7" t="s">
        <v>92</v>
      </c>
      <c r="G392" s="7" t="s">
        <v>93</v>
      </c>
      <c r="H392" s="8">
        <v>1</v>
      </c>
    </row>
    <row r="393" spans="2:8">
      <c r="B393" s="7">
        <v>2015</v>
      </c>
      <c r="C393" s="7" t="s">
        <v>126</v>
      </c>
      <c r="D393" s="7" t="s">
        <v>127</v>
      </c>
      <c r="E393" s="7" t="s">
        <v>9</v>
      </c>
      <c r="F393" s="7" t="s">
        <v>94</v>
      </c>
      <c r="G393" s="7" t="s">
        <v>93</v>
      </c>
      <c r="H393" s="8">
        <v>3</v>
      </c>
    </row>
    <row r="394" spans="2:8">
      <c r="B394" s="7">
        <v>2015</v>
      </c>
      <c r="C394" s="7" t="s">
        <v>126</v>
      </c>
      <c r="D394" s="7" t="s">
        <v>127</v>
      </c>
      <c r="E394" s="7" t="s">
        <v>9</v>
      </c>
      <c r="F394" s="7" t="s">
        <v>94</v>
      </c>
      <c r="G394" s="7" t="s">
        <v>95</v>
      </c>
      <c r="H394" s="8">
        <v>6</v>
      </c>
    </row>
    <row r="395" spans="2:8">
      <c r="B395" s="7">
        <v>2015</v>
      </c>
      <c r="C395" s="7" t="s">
        <v>126</v>
      </c>
      <c r="D395" s="7" t="s">
        <v>127</v>
      </c>
      <c r="E395" s="7" t="s">
        <v>10</v>
      </c>
      <c r="F395" s="7" t="s">
        <v>94</v>
      </c>
      <c r="G395" s="7" t="s">
        <v>93</v>
      </c>
      <c r="H395" s="8">
        <v>2</v>
      </c>
    </row>
    <row r="396" spans="2:8">
      <c r="B396" s="7">
        <v>2015</v>
      </c>
      <c r="C396" s="7" t="s">
        <v>126</v>
      </c>
      <c r="D396" s="7" t="s">
        <v>127</v>
      </c>
      <c r="E396" s="7" t="s">
        <v>10</v>
      </c>
      <c r="F396" s="7" t="s">
        <v>94</v>
      </c>
      <c r="G396" s="7" t="s">
        <v>95</v>
      </c>
      <c r="H396" s="8">
        <v>3</v>
      </c>
    </row>
    <row r="397" spans="2:8">
      <c r="B397" s="7">
        <v>2025</v>
      </c>
      <c r="C397" s="7" t="s">
        <v>90</v>
      </c>
      <c r="D397" s="7" t="s">
        <v>91</v>
      </c>
      <c r="E397" s="7" t="s">
        <v>9</v>
      </c>
      <c r="F397" s="7" t="s">
        <v>92</v>
      </c>
      <c r="G397" s="7" t="s">
        <v>93</v>
      </c>
      <c r="H397" s="8">
        <v>290</v>
      </c>
    </row>
    <row r="398" spans="2:8">
      <c r="B398" s="7">
        <v>2025</v>
      </c>
      <c r="C398" s="7" t="s">
        <v>90</v>
      </c>
      <c r="D398" s="7" t="s">
        <v>91</v>
      </c>
      <c r="E398" s="7" t="s">
        <v>9</v>
      </c>
      <c r="F398" s="7" t="s">
        <v>92</v>
      </c>
      <c r="G398" s="7" t="s">
        <v>95</v>
      </c>
      <c r="H398" s="8">
        <v>163</v>
      </c>
    </row>
    <row r="399" spans="2:8">
      <c r="B399" s="7">
        <v>2025</v>
      </c>
      <c r="C399" s="7" t="s">
        <v>90</v>
      </c>
      <c r="D399" s="7" t="s">
        <v>91</v>
      </c>
      <c r="E399" s="7" t="s">
        <v>9</v>
      </c>
      <c r="F399" s="7" t="s">
        <v>94</v>
      </c>
      <c r="G399" s="7" t="s">
        <v>93</v>
      </c>
      <c r="H399" s="8">
        <v>142</v>
      </c>
    </row>
    <row r="400" spans="2:8">
      <c r="B400" s="7">
        <v>2025</v>
      </c>
      <c r="C400" s="7" t="s">
        <v>90</v>
      </c>
      <c r="D400" s="7" t="s">
        <v>91</v>
      </c>
      <c r="E400" s="7" t="s">
        <v>9</v>
      </c>
      <c r="F400" s="7" t="s">
        <v>94</v>
      </c>
      <c r="G400" s="7" t="s">
        <v>95</v>
      </c>
      <c r="H400" s="8">
        <v>87</v>
      </c>
    </row>
    <row r="401" spans="2:8">
      <c r="B401" s="7">
        <v>2025</v>
      </c>
      <c r="C401" s="7" t="s">
        <v>90</v>
      </c>
      <c r="D401" s="7" t="s">
        <v>91</v>
      </c>
      <c r="E401" s="7" t="s">
        <v>10</v>
      </c>
      <c r="F401" s="7" t="s">
        <v>92</v>
      </c>
      <c r="G401" s="7" t="s">
        <v>93</v>
      </c>
      <c r="H401" s="8">
        <v>3</v>
      </c>
    </row>
    <row r="402" spans="2:8">
      <c r="B402" s="7">
        <v>2025</v>
      </c>
      <c r="C402" s="7" t="s">
        <v>90</v>
      </c>
      <c r="D402" s="7" t="s">
        <v>91</v>
      </c>
      <c r="E402" s="7" t="s">
        <v>10</v>
      </c>
      <c r="F402" s="7" t="s">
        <v>92</v>
      </c>
      <c r="G402" s="7" t="s">
        <v>95</v>
      </c>
      <c r="H402" s="8">
        <v>1</v>
      </c>
    </row>
    <row r="403" spans="2:8">
      <c r="B403" s="7">
        <v>2025</v>
      </c>
      <c r="C403" s="7" t="s">
        <v>90</v>
      </c>
      <c r="D403" s="7" t="s">
        <v>91</v>
      </c>
      <c r="E403" s="7" t="s">
        <v>10</v>
      </c>
      <c r="F403" s="7" t="s">
        <v>94</v>
      </c>
      <c r="G403" s="7" t="s">
        <v>93</v>
      </c>
      <c r="H403" s="8">
        <v>120</v>
      </c>
    </row>
    <row r="404" spans="2:8">
      <c r="B404" s="7">
        <v>2025</v>
      </c>
      <c r="C404" s="7" t="s">
        <v>90</v>
      </c>
      <c r="D404" s="7" t="s">
        <v>91</v>
      </c>
      <c r="E404" s="7" t="s">
        <v>10</v>
      </c>
      <c r="F404" s="7" t="s">
        <v>94</v>
      </c>
      <c r="G404" s="7" t="s">
        <v>95</v>
      </c>
      <c r="H404" s="8">
        <v>68</v>
      </c>
    </row>
    <row r="405" spans="2:8">
      <c r="B405" s="7">
        <v>2025</v>
      </c>
      <c r="C405" s="7" t="s">
        <v>90</v>
      </c>
      <c r="D405" s="7" t="s">
        <v>96</v>
      </c>
      <c r="E405" s="7" t="s">
        <v>9</v>
      </c>
      <c r="F405" s="7" t="s">
        <v>92</v>
      </c>
      <c r="G405" s="7" t="s">
        <v>93</v>
      </c>
      <c r="H405" s="8">
        <v>835</v>
      </c>
    </row>
    <row r="406" spans="2:8">
      <c r="B406" s="7">
        <v>2025</v>
      </c>
      <c r="C406" s="7" t="s">
        <v>90</v>
      </c>
      <c r="D406" s="7" t="s">
        <v>96</v>
      </c>
      <c r="E406" s="7" t="s">
        <v>9</v>
      </c>
      <c r="F406" s="7" t="s">
        <v>92</v>
      </c>
      <c r="G406" s="7" t="s">
        <v>95</v>
      </c>
      <c r="H406" s="8">
        <v>531</v>
      </c>
    </row>
    <row r="407" spans="2:8">
      <c r="B407" s="7">
        <v>2025</v>
      </c>
      <c r="C407" s="7" t="s">
        <v>90</v>
      </c>
      <c r="D407" s="7" t="s">
        <v>96</v>
      </c>
      <c r="E407" s="7" t="s">
        <v>9</v>
      </c>
      <c r="F407" s="7" t="s">
        <v>94</v>
      </c>
      <c r="G407" s="7" t="s">
        <v>93</v>
      </c>
      <c r="H407" s="8">
        <v>1166</v>
      </c>
    </row>
    <row r="408" spans="2:8">
      <c r="B408" s="7">
        <v>2025</v>
      </c>
      <c r="C408" s="7" t="s">
        <v>90</v>
      </c>
      <c r="D408" s="7" t="s">
        <v>96</v>
      </c>
      <c r="E408" s="7" t="s">
        <v>9</v>
      </c>
      <c r="F408" s="7" t="s">
        <v>94</v>
      </c>
      <c r="G408" s="7" t="s">
        <v>95</v>
      </c>
      <c r="H408" s="8">
        <v>631</v>
      </c>
    </row>
    <row r="409" spans="2:8">
      <c r="B409" s="7">
        <v>2025</v>
      </c>
      <c r="C409" s="7" t="s">
        <v>90</v>
      </c>
      <c r="D409" s="7" t="s">
        <v>96</v>
      </c>
      <c r="E409" s="7" t="s">
        <v>10</v>
      </c>
      <c r="F409" s="7" t="s">
        <v>92</v>
      </c>
      <c r="G409" s="7" t="s">
        <v>93</v>
      </c>
      <c r="H409" s="8">
        <v>9</v>
      </c>
    </row>
    <row r="410" spans="2:8">
      <c r="B410" s="7">
        <v>2025</v>
      </c>
      <c r="C410" s="7" t="s">
        <v>90</v>
      </c>
      <c r="D410" s="7" t="s">
        <v>96</v>
      </c>
      <c r="E410" s="7" t="s">
        <v>10</v>
      </c>
      <c r="F410" s="7" t="s">
        <v>92</v>
      </c>
      <c r="G410" s="7" t="s">
        <v>95</v>
      </c>
      <c r="H410" s="8">
        <v>15</v>
      </c>
    </row>
    <row r="411" spans="2:8">
      <c r="B411" s="7">
        <v>2025</v>
      </c>
      <c r="C411" s="7" t="s">
        <v>90</v>
      </c>
      <c r="D411" s="7" t="s">
        <v>96</v>
      </c>
      <c r="E411" s="7" t="s">
        <v>10</v>
      </c>
      <c r="F411" s="7" t="s">
        <v>94</v>
      </c>
      <c r="G411" s="7" t="s">
        <v>93</v>
      </c>
      <c r="H411" s="8">
        <v>206</v>
      </c>
    </row>
    <row r="412" spans="2:8">
      <c r="B412" s="7">
        <v>2025</v>
      </c>
      <c r="C412" s="7" t="s">
        <v>90</v>
      </c>
      <c r="D412" s="7" t="s">
        <v>96</v>
      </c>
      <c r="E412" s="7" t="s">
        <v>10</v>
      </c>
      <c r="F412" s="7" t="s">
        <v>94</v>
      </c>
      <c r="G412" s="7" t="s">
        <v>95</v>
      </c>
      <c r="H412" s="8">
        <v>101</v>
      </c>
    </row>
    <row r="413" spans="2:8">
      <c r="B413" s="7">
        <v>2025</v>
      </c>
      <c r="C413" s="7" t="s">
        <v>90</v>
      </c>
      <c r="D413" s="7" t="s">
        <v>97</v>
      </c>
      <c r="E413" s="7" t="s">
        <v>9</v>
      </c>
      <c r="F413" s="7" t="s">
        <v>92</v>
      </c>
      <c r="G413" s="7" t="s">
        <v>93</v>
      </c>
      <c r="H413" s="8">
        <v>348</v>
      </c>
    </row>
    <row r="414" spans="2:8">
      <c r="B414" s="7">
        <v>2025</v>
      </c>
      <c r="C414" s="7" t="s">
        <v>90</v>
      </c>
      <c r="D414" s="7" t="s">
        <v>97</v>
      </c>
      <c r="E414" s="7" t="s">
        <v>9</v>
      </c>
      <c r="F414" s="7" t="s">
        <v>92</v>
      </c>
      <c r="G414" s="7" t="s">
        <v>95</v>
      </c>
      <c r="H414" s="8">
        <v>222</v>
      </c>
    </row>
    <row r="415" spans="2:8">
      <c r="B415" s="7">
        <v>2025</v>
      </c>
      <c r="C415" s="7" t="s">
        <v>90</v>
      </c>
      <c r="D415" s="7" t="s">
        <v>97</v>
      </c>
      <c r="E415" s="7" t="s">
        <v>9</v>
      </c>
      <c r="F415" s="7" t="s">
        <v>94</v>
      </c>
      <c r="G415" s="7" t="s">
        <v>93</v>
      </c>
      <c r="H415" s="8">
        <v>246</v>
      </c>
    </row>
    <row r="416" spans="2:8">
      <c r="B416" s="7">
        <v>2025</v>
      </c>
      <c r="C416" s="7" t="s">
        <v>90</v>
      </c>
      <c r="D416" s="7" t="s">
        <v>97</v>
      </c>
      <c r="E416" s="7" t="s">
        <v>9</v>
      </c>
      <c r="F416" s="7" t="s">
        <v>94</v>
      </c>
      <c r="G416" s="7" t="s">
        <v>95</v>
      </c>
      <c r="H416" s="8">
        <v>177</v>
      </c>
    </row>
    <row r="417" spans="2:8">
      <c r="B417" s="7">
        <v>2025</v>
      </c>
      <c r="C417" s="7" t="s">
        <v>90</v>
      </c>
      <c r="D417" s="7" t="s">
        <v>97</v>
      </c>
      <c r="E417" s="7" t="s">
        <v>10</v>
      </c>
      <c r="F417" s="7" t="s">
        <v>92</v>
      </c>
      <c r="G417" s="7" t="s">
        <v>93</v>
      </c>
      <c r="H417" s="8">
        <v>1</v>
      </c>
    </row>
    <row r="418" spans="2:8">
      <c r="B418" s="7">
        <v>2025</v>
      </c>
      <c r="C418" s="7" t="s">
        <v>90</v>
      </c>
      <c r="D418" s="7" t="s">
        <v>97</v>
      </c>
      <c r="E418" s="7" t="s">
        <v>10</v>
      </c>
      <c r="F418" s="7" t="s">
        <v>92</v>
      </c>
      <c r="G418" s="7" t="s">
        <v>95</v>
      </c>
      <c r="H418" s="8">
        <v>1</v>
      </c>
    </row>
    <row r="419" spans="2:8">
      <c r="B419" s="7">
        <v>2025</v>
      </c>
      <c r="C419" s="7" t="s">
        <v>90</v>
      </c>
      <c r="D419" s="7" t="s">
        <v>97</v>
      </c>
      <c r="E419" s="7" t="s">
        <v>10</v>
      </c>
      <c r="F419" s="7" t="s">
        <v>94</v>
      </c>
      <c r="G419" s="7" t="s">
        <v>93</v>
      </c>
      <c r="H419" s="8">
        <v>89</v>
      </c>
    </row>
    <row r="420" spans="2:8">
      <c r="B420" s="7">
        <v>2025</v>
      </c>
      <c r="C420" s="7" t="s">
        <v>90</v>
      </c>
      <c r="D420" s="7" t="s">
        <v>97</v>
      </c>
      <c r="E420" s="7" t="s">
        <v>10</v>
      </c>
      <c r="F420" s="7" t="s">
        <v>94</v>
      </c>
      <c r="G420" s="7" t="s">
        <v>95</v>
      </c>
      <c r="H420" s="8">
        <v>47</v>
      </c>
    </row>
    <row r="421" spans="2:8">
      <c r="B421" s="7">
        <v>2025</v>
      </c>
      <c r="C421" s="7" t="s">
        <v>90</v>
      </c>
      <c r="D421" s="7" t="s">
        <v>98</v>
      </c>
      <c r="E421" s="7" t="s">
        <v>9</v>
      </c>
      <c r="F421" s="7" t="s">
        <v>92</v>
      </c>
      <c r="G421" s="7" t="s">
        <v>93</v>
      </c>
      <c r="H421" s="8">
        <v>3436</v>
      </c>
    </row>
    <row r="422" spans="2:8">
      <c r="B422" s="7">
        <v>2025</v>
      </c>
      <c r="C422" s="7" t="s">
        <v>90</v>
      </c>
      <c r="D422" s="7" t="s">
        <v>98</v>
      </c>
      <c r="E422" s="7" t="s">
        <v>9</v>
      </c>
      <c r="F422" s="7" t="s">
        <v>92</v>
      </c>
      <c r="G422" s="7" t="s">
        <v>95</v>
      </c>
      <c r="H422" s="8">
        <v>1714</v>
      </c>
    </row>
    <row r="423" spans="2:8">
      <c r="B423" s="7">
        <v>2025</v>
      </c>
      <c r="C423" s="7" t="s">
        <v>90</v>
      </c>
      <c r="D423" s="7" t="s">
        <v>98</v>
      </c>
      <c r="E423" s="7" t="s">
        <v>9</v>
      </c>
      <c r="F423" s="7" t="s">
        <v>94</v>
      </c>
      <c r="G423" s="7" t="s">
        <v>93</v>
      </c>
      <c r="H423" s="8">
        <v>1479</v>
      </c>
    </row>
    <row r="424" spans="2:8">
      <c r="B424" s="7">
        <v>2025</v>
      </c>
      <c r="C424" s="7" t="s">
        <v>90</v>
      </c>
      <c r="D424" s="7" t="s">
        <v>98</v>
      </c>
      <c r="E424" s="7" t="s">
        <v>9</v>
      </c>
      <c r="F424" s="7" t="s">
        <v>94</v>
      </c>
      <c r="G424" s="7" t="s">
        <v>95</v>
      </c>
      <c r="H424" s="8">
        <v>775</v>
      </c>
    </row>
    <row r="425" spans="2:8">
      <c r="B425" s="7">
        <v>2025</v>
      </c>
      <c r="C425" s="7" t="s">
        <v>90</v>
      </c>
      <c r="D425" s="7" t="s">
        <v>98</v>
      </c>
      <c r="E425" s="7" t="s">
        <v>10</v>
      </c>
      <c r="F425" s="7" t="s">
        <v>92</v>
      </c>
      <c r="G425" s="7" t="s">
        <v>93</v>
      </c>
      <c r="H425" s="8">
        <v>130</v>
      </c>
    </row>
    <row r="426" spans="2:8">
      <c r="B426" s="7">
        <v>2025</v>
      </c>
      <c r="C426" s="7" t="s">
        <v>90</v>
      </c>
      <c r="D426" s="7" t="s">
        <v>98</v>
      </c>
      <c r="E426" s="7" t="s">
        <v>10</v>
      </c>
      <c r="F426" s="7" t="s">
        <v>92</v>
      </c>
      <c r="G426" s="7" t="s">
        <v>95</v>
      </c>
      <c r="H426" s="8">
        <v>55</v>
      </c>
    </row>
    <row r="427" spans="2:8">
      <c r="B427" s="7">
        <v>2025</v>
      </c>
      <c r="C427" s="7" t="s">
        <v>90</v>
      </c>
      <c r="D427" s="7" t="s">
        <v>98</v>
      </c>
      <c r="E427" s="7" t="s">
        <v>10</v>
      </c>
      <c r="F427" s="7" t="s">
        <v>94</v>
      </c>
      <c r="G427" s="7" t="s">
        <v>93</v>
      </c>
      <c r="H427" s="8">
        <v>596</v>
      </c>
    </row>
    <row r="428" spans="2:8">
      <c r="B428" s="7">
        <v>2025</v>
      </c>
      <c r="C428" s="7" t="s">
        <v>90</v>
      </c>
      <c r="D428" s="7" t="s">
        <v>98</v>
      </c>
      <c r="E428" s="7" t="s">
        <v>10</v>
      </c>
      <c r="F428" s="7" t="s">
        <v>94</v>
      </c>
      <c r="G428" s="7" t="s">
        <v>95</v>
      </c>
      <c r="H428" s="8">
        <v>284</v>
      </c>
    </row>
    <row r="429" spans="2:8">
      <c r="B429" s="7">
        <v>2025</v>
      </c>
      <c r="C429" s="7" t="s">
        <v>90</v>
      </c>
      <c r="D429" s="7" t="s">
        <v>99</v>
      </c>
      <c r="E429" s="7" t="s">
        <v>9</v>
      </c>
      <c r="F429" s="7" t="s">
        <v>92</v>
      </c>
      <c r="G429" s="7" t="s">
        <v>93</v>
      </c>
      <c r="H429" s="8">
        <v>322</v>
      </c>
    </row>
    <row r="430" spans="2:8">
      <c r="B430" s="7">
        <v>2025</v>
      </c>
      <c r="C430" s="7" t="s">
        <v>90</v>
      </c>
      <c r="D430" s="7" t="s">
        <v>99</v>
      </c>
      <c r="E430" s="7" t="s">
        <v>9</v>
      </c>
      <c r="F430" s="7" t="s">
        <v>92</v>
      </c>
      <c r="G430" s="7" t="s">
        <v>95</v>
      </c>
      <c r="H430" s="8">
        <v>145</v>
      </c>
    </row>
    <row r="431" spans="2:8">
      <c r="B431" s="7">
        <v>2025</v>
      </c>
      <c r="C431" s="7" t="s">
        <v>90</v>
      </c>
      <c r="D431" s="7" t="s">
        <v>99</v>
      </c>
      <c r="E431" s="7" t="s">
        <v>9</v>
      </c>
      <c r="F431" s="7" t="s">
        <v>94</v>
      </c>
      <c r="G431" s="7" t="s">
        <v>93</v>
      </c>
      <c r="H431" s="8">
        <v>565</v>
      </c>
    </row>
    <row r="432" spans="2:8">
      <c r="B432" s="7">
        <v>2025</v>
      </c>
      <c r="C432" s="7" t="s">
        <v>90</v>
      </c>
      <c r="D432" s="7" t="s">
        <v>99</v>
      </c>
      <c r="E432" s="7" t="s">
        <v>9</v>
      </c>
      <c r="F432" s="7" t="s">
        <v>94</v>
      </c>
      <c r="G432" s="7" t="s">
        <v>95</v>
      </c>
      <c r="H432" s="8">
        <v>277</v>
      </c>
    </row>
    <row r="433" spans="2:8">
      <c r="B433" s="7">
        <v>2025</v>
      </c>
      <c r="C433" s="7" t="s">
        <v>90</v>
      </c>
      <c r="D433" s="7" t="s">
        <v>99</v>
      </c>
      <c r="E433" s="7" t="s">
        <v>10</v>
      </c>
      <c r="F433" s="7" t="s">
        <v>92</v>
      </c>
      <c r="G433" s="7" t="s">
        <v>93</v>
      </c>
      <c r="H433" s="8">
        <v>9</v>
      </c>
    </row>
    <row r="434" spans="2:8">
      <c r="B434" s="7">
        <v>2025</v>
      </c>
      <c r="C434" s="7" t="s">
        <v>90</v>
      </c>
      <c r="D434" s="7" t="s">
        <v>99</v>
      </c>
      <c r="E434" s="7" t="s">
        <v>10</v>
      </c>
      <c r="F434" s="7" t="s">
        <v>92</v>
      </c>
      <c r="G434" s="7" t="s">
        <v>95</v>
      </c>
      <c r="H434" s="8">
        <v>4</v>
      </c>
    </row>
    <row r="435" spans="2:8">
      <c r="B435" s="7">
        <v>2025</v>
      </c>
      <c r="C435" s="7" t="s">
        <v>90</v>
      </c>
      <c r="D435" s="7" t="s">
        <v>99</v>
      </c>
      <c r="E435" s="7" t="s">
        <v>10</v>
      </c>
      <c r="F435" s="7" t="s">
        <v>94</v>
      </c>
      <c r="G435" s="7" t="s">
        <v>93</v>
      </c>
      <c r="H435" s="8">
        <v>246</v>
      </c>
    </row>
    <row r="436" spans="2:8">
      <c r="B436" s="7">
        <v>2025</v>
      </c>
      <c r="C436" s="7" t="s">
        <v>90</v>
      </c>
      <c r="D436" s="7" t="s">
        <v>99</v>
      </c>
      <c r="E436" s="7" t="s">
        <v>10</v>
      </c>
      <c r="F436" s="7" t="s">
        <v>94</v>
      </c>
      <c r="G436" s="7" t="s">
        <v>95</v>
      </c>
      <c r="H436" s="8">
        <v>110</v>
      </c>
    </row>
    <row r="437" spans="2:8">
      <c r="B437" s="7">
        <v>2025</v>
      </c>
      <c r="C437" s="7" t="s">
        <v>90</v>
      </c>
      <c r="D437" s="7" t="s">
        <v>100</v>
      </c>
      <c r="E437" s="7" t="s">
        <v>9</v>
      </c>
      <c r="F437" s="7" t="s">
        <v>92</v>
      </c>
      <c r="G437" s="7" t="s">
        <v>93</v>
      </c>
      <c r="H437" s="8">
        <v>203</v>
      </c>
    </row>
    <row r="438" spans="2:8">
      <c r="B438" s="7">
        <v>2025</v>
      </c>
      <c r="C438" s="7" t="s">
        <v>90</v>
      </c>
      <c r="D438" s="7" t="s">
        <v>100</v>
      </c>
      <c r="E438" s="7" t="s">
        <v>9</v>
      </c>
      <c r="F438" s="7" t="s">
        <v>92</v>
      </c>
      <c r="G438" s="7" t="s">
        <v>95</v>
      </c>
      <c r="H438" s="8">
        <v>103</v>
      </c>
    </row>
    <row r="439" spans="2:8">
      <c r="B439" s="7">
        <v>2025</v>
      </c>
      <c r="C439" s="7" t="s">
        <v>90</v>
      </c>
      <c r="D439" s="7" t="s">
        <v>100</v>
      </c>
      <c r="E439" s="7" t="s">
        <v>9</v>
      </c>
      <c r="F439" s="7" t="s">
        <v>94</v>
      </c>
      <c r="G439" s="7" t="s">
        <v>93</v>
      </c>
      <c r="H439" s="8">
        <v>154</v>
      </c>
    </row>
    <row r="440" spans="2:8">
      <c r="B440" s="7">
        <v>2025</v>
      </c>
      <c r="C440" s="7" t="s">
        <v>90</v>
      </c>
      <c r="D440" s="7" t="s">
        <v>100</v>
      </c>
      <c r="E440" s="7" t="s">
        <v>9</v>
      </c>
      <c r="F440" s="7" t="s">
        <v>94</v>
      </c>
      <c r="G440" s="7" t="s">
        <v>95</v>
      </c>
      <c r="H440" s="8">
        <v>71</v>
      </c>
    </row>
    <row r="441" spans="2:8">
      <c r="B441" s="7">
        <v>2025</v>
      </c>
      <c r="C441" s="7" t="s">
        <v>90</v>
      </c>
      <c r="D441" s="7" t="s">
        <v>100</v>
      </c>
      <c r="E441" s="7" t="s">
        <v>10</v>
      </c>
      <c r="F441" s="7" t="s">
        <v>92</v>
      </c>
      <c r="G441" s="7" t="s">
        <v>95</v>
      </c>
      <c r="H441" s="8">
        <v>2</v>
      </c>
    </row>
    <row r="442" spans="2:8">
      <c r="B442" s="7">
        <v>2025</v>
      </c>
      <c r="C442" s="7" t="s">
        <v>90</v>
      </c>
      <c r="D442" s="7" t="s">
        <v>100</v>
      </c>
      <c r="E442" s="7" t="s">
        <v>10</v>
      </c>
      <c r="F442" s="7" t="s">
        <v>94</v>
      </c>
      <c r="G442" s="7" t="s">
        <v>93</v>
      </c>
      <c r="H442" s="8">
        <v>51</v>
      </c>
    </row>
    <row r="443" spans="2:8">
      <c r="B443" s="7">
        <v>2025</v>
      </c>
      <c r="C443" s="7" t="s">
        <v>90</v>
      </c>
      <c r="D443" s="7" t="s">
        <v>100</v>
      </c>
      <c r="E443" s="7" t="s">
        <v>10</v>
      </c>
      <c r="F443" s="7" t="s">
        <v>94</v>
      </c>
      <c r="G443" s="7" t="s">
        <v>95</v>
      </c>
      <c r="H443" s="8">
        <v>19</v>
      </c>
    </row>
    <row r="444" spans="2:8">
      <c r="B444" s="7">
        <v>2025</v>
      </c>
      <c r="C444" s="7" t="s">
        <v>90</v>
      </c>
      <c r="D444" s="7" t="s">
        <v>101</v>
      </c>
      <c r="E444" s="7" t="s">
        <v>9</v>
      </c>
      <c r="F444" s="7" t="s">
        <v>92</v>
      </c>
      <c r="G444" s="7" t="s">
        <v>93</v>
      </c>
      <c r="H444" s="8">
        <v>226</v>
      </c>
    </row>
    <row r="445" spans="2:8">
      <c r="B445" s="7">
        <v>2025</v>
      </c>
      <c r="C445" s="7" t="s">
        <v>90</v>
      </c>
      <c r="D445" s="7" t="s">
        <v>101</v>
      </c>
      <c r="E445" s="7" t="s">
        <v>9</v>
      </c>
      <c r="F445" s="7" t="s">
        <v>92</v>
      </c>
      <c r="G445" s="7" t="s">
        <v>95</v>
      </c>
      <c r="H445" s="8">
        <v>114</v>
      </c>
    </row>
    <row r="446" spans="2:8">
      <c r="B446" s="7">
        <v>2025</v>
      </c>
      <c r="C446" s="7" t="s">
        <v>90</v>
      </c>
      <c r="D446" s="7" t="s">
        <v>101</v>
      </c>
      <c r="E446" s="7" t="s">
        <v>9</v>
      </c>
      <c r="F446" s="7" t="s">
        <v>94</v>
      </c>
      <c r="G446" s="7" t="s">
        <v>93</v>
      </c>
      <c r="H446" s="8">
        <v>486</v>
      </c>
    </row>
    <row r="447" spans="2:8">
      <c r="B447" s="7">
        <v>2025</v>
      </c>
      <c r="C447" s="7" t="s">
        <v>90</v>
      </c>
      <c r="D447" s="7" t="s">
        <v>101</v>
      </c>
      <c r="E447" s="7" t="s">
        <v>9</v>
      </c>
      <c r="F447" s="7" t="s">
        <v>94</v>
      </c>
      <c r="G447" s="7" t="s">
        <v>95</v>
      </c>
      <c r="H447" s="8">
        <v>229</v>
      </c>
    </row>
    <row r="448" spans="2:8">
      <c r="B448" s="7">
        <v>2025</v>
      </c>
      <c r="C448" s="7" t="s">
        <v>90</v>
      </c>
      <c r="D448" s="7" t="s">
        <v>101</v>
      </c>
      <c r="E448" s="7" t="s">
        <v>10</v>
      </c>
      <c r="F448" s="7" t="s">
        <v>92</v>
      </c>
      <c r="G448" s="7" t="s">
        <v>93</v>
      </c>
      <c r="H448" s="8">
        <v>25</v>
      </c>
    </row>
    <row r="449" spans="2:8">
      <c r="B449" s="7">
        <v>2025</v>
      </c>
      <c r="C449" s="7" t="s">
        <v>90</v>
      </c>
      <c r="D449" s="7" t="s">
        <v>101</v>
      </c>
      <c r="E449" s="7" t="s">
        <v>10</v>
      </c>
      <c r="F449" s="7" t="s">
        <v>92</v>
      </c>
      <c r="G449" s="7" t="s">
        <v>95</v>
      </c>
      <c r="H449" s="8">
        <v>6</v>
      </c>
    </row>
    <row r="450" spans="2:8">
      <c r="B450" s="7">
        <v>2025</v>
      </c>
      <c r="C450" s="7" t="s">
        <v>90</v>
      </c>
      <c r="D450" s="7" t="s">
        <v>101</v>
      </c>
      <c r="E450" s="7" t="s">
        <v>10</v>
      </c>
      <c r="F450" s="7" t="s">
        <v>94</v>
      </c>
      <c r="G450" s="7" t="s">
        <v>93</v>
      </c>
      <c r="H450" s="8">
        <v>129</v>
      </c>
    </row>
    <row r="451" spans="2:8">
      <c r="B451" s="7">
        <v>2025</v>
      </c>
      <c r="C451" s="7" t="s">
        <v>90</v>
      </c>
      <c r="D451" s="7" t="s">
        <v>101</v>
      </c>
      <c r="E451" s="7" t="s">
        <v>10</v>
      </c>
      <c r="F451" s="7" t="s">
        <v>94</v>
      </c>
      <c r="G451" s="7" t="s">
        <v>95</v>
      </c>
      <c r="H451" s="8">
        <v>38</v>
      </c>
    </row>
    <row r="452" spans="2:8">
      <c r="B452" s="7">
        <v>2025</v>
      </c>
      <c r="C452" s="7" t="s">
        <v>102</v>
      </c>
      <c r="D452" s="7" t="s">
        <v>103</v>
      </c>
      <c r="E452" s="7" t="s">
        <v>9</v>
      </c>
      <c r="F452" s="7" t="s">
        <v>92</v>
      </c>
      <c r="G452" s="7" t="s">
        <v>93</v>
      </c>
      <c r="H452" s="8">
        <v>540</v>
      </c>
    </row>
    <row r="453" spans="2:8">
      <c r="B453" s="7">
        <v>2025</v>
      </c>
      <c r="C453" s="7" t="s">
        <v>102</v>
      </c>
      <c r="D453" s="7" t="s">
        <v>103</v>
      </c>
      <c r="E453" s="7" t="s">
        <v>9</v>
      </c>
      <c r="F453" s="7" t="s">
        <v>92</v>
      </c>
      <c r="G453" s="7" t="s">
        <v>95</v>
      </c>
      <c r="H453" s="8">
        <v>369</v>
      </c>
    </row>
    <row r="454" spans="2:8">
      <c r="B454" s="7">
        <v>2025</v>
      </c>
      <c r="C454" s="7" t="s">
        <v>102</v>
      </c>
      <c r="D454" s="7" t="s">
        <v>103</v>
      </c>
      <c r="E454" s="7" t="s">
        <v>9</v>
      </c>
      <c r="F454" s="7" t="s">
        <v>94</v>
      </c>
      <c r="G454" s="7" t="s">
        <v>93</v>
      </c>
      <c r="H454" s="8">
        <v>762</v>
      </c>
    </row>
    <row r="455" spans="2:8">
      <c r="B455" s="7">
        <v>2025</v>
      </c>
      <c r="C455" s="7" t="s">
        <v>102</v>
      </c>
      <c r="D455" s="7" t="s">
        <v>103</v>
      </c>
      <c r="E455" s="7" t="s">
        <v>9</v>
      </c>
      <c r="F455" s="7" t="s">
        <v>94</v>
      </c>
      <c r="G455" s="7" t="s">
        <v>95</v>
      </c>
      <c r="H455" s="8">
        <v>347</v>
      </c>
    </row>
    <row r="456" spans="2:8">
      <c r="B456" s="7">
        <v>2025</v>
      </c>
      <c r="C456" s="7" t="s">
        <v>102</v>
      </c>
      <c r="D456" s="7" t="s">
        <v>103</v>
      </c>
      <c r="E456" s="7" t="s">
        <v>10</v>
      </c>
      <c r="F456" s="7" t="s">
        <v>92</v>
      </c>
      <c r="G456" s="7" t="s">
        <v>93</v>
      </c>
      <c r="H456" s="8">
        <v>60</v>
      </c>
    </row>
    <row r="457" spans="2:8">
      <c r="B457" s="7">
        <v>2025</v>
      </c>
      <c r="C457" s="7" t="s">
        <v>102</v>
      </c>
      <c r="D457" s="7" t="s">
        <v>103</v>
      </c>
      <c r="E457" s="7" t="s">
        <v>10</v>
      </c>
      <c r="F457" s="7" t="s">
        <v>92</v>
      </c>
      <c r="G457" s="7" t="s">
        <v>95</v>
      </c>
      <c r="H457" s="8">
        <v>42</v>
      </c>
    </row>
    <row r="458" spans="2:8">
      <c r="B458" s="7">
        <v>2025</v>
      </c>
      <c r="C458" s="7" t="s">
        <v>102</v>
      </c>
      <c r="D458" s="7" t="s">
        <v>103</v>
      </c>
      <c r="E458" s="7" t="s">
        <v>10</v>
      </c>
      <c r="F458" s="7" t="s">
        <v>94</v>
      </c>
      <c r="G458" s="7" t="s">
        <v>93</v>
      </c>
      <c r="H458" s="8">
        <v>84</v>
      </c>
    </row>
    <row r="459" spans="2:8">
      <c r="B459" s="7">
        <v>2025</v>
      </c>
      <c r="C459" s="7" t="s">
        <v>102</v>
      </c>
      <c r="D459" s="7" t="s">
        <v>103</v>
      </c>
      <c r="E459" s="7" t="s">
        <v>10</v>
      </c>
      <c r="F459" s="7" t="s">
        <v>94</v>
      </c>
      <c r="G459" s="7" t="s">
        <v>95</v>
      </c>
      <c r="H459" s="8">
        <v>45</v>
      </c>
    </row>
    <row r="460" spans="2:8">
      <c r="B460" s="7">
        <v>2025</v>
      </c>
      <c r="C460" s="7" t="s">
        <v>102</v>
      </c>
      <c r="D460" s="7" t="s">
        <v>104</v>
      </c>
      <c r="E460" s="7" t="s">
        <v>9</v>
      </c>
      <c r="F460" s="7" t="s">
        <v>92</v>
      </c>
      <c r="G460" s="7" t="s">
        <v>93</v>
      </c>
      <c r="H460" s="8">
        <v>3832</v>
      </c>
    </row>
    <row r="461" spans="2:8">
      <c r="B461" s="7">
        <v>2025</v>
      </c>
      <c r="C461" s="7" t="s">
        <v>102</v>
      </c>
      <c r="D461" s="7" t="s">
        <v>104</v>
      </c>
      <c r="E461" s="7" t="s">
        <v>9</v>
      </c>
      <c r="F461" s="7" t="s">
        <v>92</v>
      </c>
      <c r="G461" s="7" t="s">
        <v>95</v>
      </c>
      <c r="H461" s="8">
        <v>1979</v>
      </c>
    </row>
    <row r="462" spans="2:8">
      <c r="B462" s="7">
        <v>2025</v>
      </c>
      <c r="C462" s="7" t="s">
        <v>102</v>
      </c>
      <c r="D462" s="7" t="s">
        <v>104</v>
      </c>
      <c r="E462" s="7" t="s">
        <v>9</v>
      </c>
      <c r="F462" s="7" t="s">
        <v>94</v>
      </c>
      <c r="G462" s="7" t="s">
        <v>93</v>
      </c>
      <c r="H462" s="8">
        <v>4624</v>
      </c>
    </row>
    <row r="463" spans="2:8">
      <c r="B463" s="7">
        <v>2025</v>
      </c>
      <c r="C463" s="7" t="s">
        <v>102</v>
      </c>
      <c r="D463" s="7" t="s">
        <v>104</v>
      </c>
      <c r="E463" s="7" t="s">
        <v>9</v>
      </c>
      <c r="F463" s="7" t="s">
        <v>94</v>
      </c>
      <c r="G463" s="7" t="s">
        <v>95</v>
      </c>
      <c r="H463" s="8">
        <v>2165</v>
      </c>
    </row>
    <row r="464" spans="2:8">
      <c r="B464" s="7">
        <v>2025</v>
      </c>
      <c r="C464" s="7" t="s">
        <v>102</v>
      </c>
      <c r="D464" s="7" t="s">
        <v>104</v>
      </c>
      <c r="E464" s="7" t="s">
        <v>10</v>
      </c>
      <c r="F464" s="7" t="s">
        <v>92</v>
      </c>
      <c r="G464" s="7" t="s">
        <v>93</v>
      </c>
      <c r="H464" s="8">
        <v>138</v>
      </c>
    </row>
    <row r="465" spans="2:8">
      <c r="B465" s="7">
        <v>2025</v>
      </c>
      <c r="C465" s="7" t="s">
        <v>102</v>
      </c>
      <c r="D465" s="7" t="s">
        <v>104</v>
      </c>
      <c r="E465" s="7" t="s">
        <v>10</v>
      </c>
      <c r="F465" s="7" t="s">
        <v>92</v>
      </c>
      <c r="G465" s="7" t="s">
        <v>95</v>
      </c>
      <c r="H465" s="8">
        <v>61</v>
      </c>
    </row>
    <row r="466" spans="2:8">
      <c r="B466" s="7">
        <v>2025</v>
      </c>
      <c r="C466" s="7" t="s">
        <v>102</v>
      </c>
      <c r="D466" s="7" t="s">
        <v>104</v>
      </c>
      <c r="E466" s="7" t="s">
        <v>10</v>
      </c>
      <c r="F466" s="7" t="s">
        <v>94</v>
      </c>
      <c r="G466" s="7" t="s">
        <v>93</v>
      </c>
      <c r="H466" s="8">
        <v>1230</v>
      </c>
    </row>
    <row r="467" spans="2:8">
      <c r="B467" s="7">
        <v>2025</v>
      </c>
      <c r="C467" s="7" t="s">
        <v>102</v>
      </c>
      <c r="D467" s="7" t="s">
        <v>104</v>
      </c>
      <c r="E467" s="7" t="s">
        <v>10</v>
      </c>
      <c r="F467" s="7" t="s">
        <v>94</v>
      </c>
      <c r="G467" s="7" t="s">
        <v>95</v>
      </c>
      <c r="H467" s="8">
        <v>468</v>
      </c>
    </row>
    <row r="468" spans="2:8">
      <c r="B468" s="7">
        <v>2025</v>
      </c>
      <c r="C468" s="7" t="s">
        <v>102</v>
      </c>
      <c r="D468" s="7" t="s">
        <v>105</v>
      </c>
      <c r="E468" s="7" t="s">
        <v>9</v>
      </c>
      <c r="F468" s="7" t="s">
        <v>92</v>
      </c>
      <c r="G468" s="7" t="s">
        <v>93</v>
      </c>
      <c r="H468" s="8">
        <v>2671</v>
      </c>
    </row>
    <row r="469" spans="2:8">
      <c r="B469" s="7">
        <v>2025</v>
      </c>
      <c r="C469" s="7" t="s">
        <v>102</v>
      </c>
      <c r="D469" s="7" t="s">
        <v>105</v>
      </c>
      <c r="E469" s="7" t="s">
        <v>9</v>
      </c>
      <c r="F469" s="7" t="s">
        <v>92</v>
      </c>
      <c r="G469" s="7" t="s">
        <v>95</v>
      </c>
      <c r="H469" s="8">
        <v>1871</v>
      </c>
    </row>
    <row r="470" spans="2:8">
      <c r="B470" s="7">
        <v>2025</v>
      </c>
      <c r="C470" s="7" t="s">
        <v>102</v>
      </c>
      <c r="D470" s="7" t="s">
        <v>105</v>
      </c>
      <c r="E470" s="7" t="s">
        <v>9</v>
      </c>
      <c r="F470" s="7" t="s">
        <v>94</v>
      </c>
      <c r="G470" s="7" t="s">
        <v>93</v>
      </c>
      <c r="H470" s="8">
        <v>2007</v>
      </c>
    </row>
    <row r="471" spans="2:8">
      <c r="B471" s="7">
        <v>2025</v>
      </c>
      <c r="C471" s="7" t="s">
        <v>102</v>
      </c>
      <c r="D471" s="7" t="s">
        <v>105</v>
      </c>
      <c r="E471" s="7" t="s">
        <v>9</v>
      </c>
      <c r="F471" s="7" t="s">
        <v>94</v>
      </c>
      <c r="G471" s="7" t="s">
        <v>95</v>
      </c>
      <c r="H471" s="8">
        <v>1018</v>
      </c>
    </row>
    <row r="472" spans="2:8">
      <c r="B472" s="7">
        <v>2025</v>
      </c>
      <c r="C472" s="7" t="s">
        <v>102</v>
      </c>
      <c r="D472" s="7" t="s">
        <v>105</v>
      </c>
      <c r="E472" s="7" t="s">
        <v>10</v>
      </c>
      <c r="F472" s="7" t="s">
        <v>92</v>
      </c>
      <c r="G472" s="7" t="s">
        <v>93</v>
      </c>
      <c r="H472" s="8">
        <v>42</v>
      </c>
    </row>
    <row r="473" spans="2:8">
      <c r="B473" s="7">
        <v>2025</v>
      </c>
      <c r="C473" s="7" t="s">
        <v>102</v>
      </c>
      <c r="D473" s="7" t="s">
        <v>105</v>
      </c>
      <c r="E473" s="7" t="s">
        <v>10</v>
      </c>
      <c r="F473" s="7" t="s">
        <v>92</v>
      </c>
      <c r="G473" s="7" t="s">
        <v>95</v>
      </c>
      <c r="H473" s="8">
        <v>41</v>
      </c>
    </row>
    <row r="474" spans="2:8">
      <c r="B474" s="7">
        <v>2025</v>
      </c>
      <c r="C474" s="7" t="s">
        <v>102</v>
      </c>
      <c r="D474" s="7" t="s">
        <v>105</v>
      </c>
      <c r="E474" s="7" t="s">
        <v>10</v>
      </c>
      <c r="F474" s="7" t="s">
        <v>94</v>
      </c>
      <c r="G474" s="7" t="s">
        <v>93</v>
      </c>
      <c r="H474" s="8">
        <v>518</v>
      </c>
    </row>
    <row r="475" spans="2:8">
      <c r="B475" s="7">
        <v>2025</v>
      </c>
      <c r="C475" s="7" t="s">
        <v>102</v>
      </c>
      <c r="D475" s="7" t="s">
        <v>105</v>
      </c>
      <c r="E475" s="7" t="s">
        <v>10</v>
      </c>
      <c r="F475" s="7" t="s">
        <v>94</v>
      </c>
      <c r="G475" s="7" t="s">
        <v>95</v>
      </c>
      <c r="H475" s="8">
        <v>245</v>
      </c>
    </row>
    <row r="476" spans="2:8">
      <c r="B476" s="7">
        <v>2025</v>
      </c>
      <c r="C476" s="7" t="s">
        <v>102</v>
      </c>
      <c r="D476" s="7" t="s">
        <v>106</v>
      </c>
      <c r="E476" s="7" t="s">
        <v>9</v>
      </c>
      <c r="F476" s="7" t="s">
        <v>92</v>
      </c>
      <c r="G476" s="7" t="s">
        <v>93</v>
      </c>
      <c r="H476" s="8">
        <v>1332</v>
      </c>
    </row>
    <row r="477" spans="2:8">
      <c r="B477" s="7">
        <v>2025</v>
      </c>
      <c r="C477" s="7" t="s">
        <v>102</v>
      </c>
      <c r="D477" s="7" t="s">
        <v>106</v>
      </c>
      <c r="E477" s="7" t="s">
        <v>9</v>
      </c>
      <c r="F477" s="7" t="s">
        <v>92</v>
      </c>
      <c r="G477" s="7" t="s">
        <v>95</v>
      </c>
      <c r="H477" s="8">
        <v>786</v>
      </c>
    </row>
    <row r="478" spans="2:8">
      <c r="B478" s="7">
        <v>2025</v>
      </c>
      <c r="C478" s="7" t="s">
        <v>102</v>
      </c>
      <c r="D478" s="7" t="s">
        <v>106</v>
      </c>
      <c r="E478" s="7" t="s">
        <v>9</v>
      </c>
      <c r="F478" s="7" t="s">
        <v>94</v>
      </c>
      <c r="G478" s="7" t="s">
        <v>93</v>
      </c>
      <c r="H478" s="8">
        <v>1303</v>
      </c>
    </row>
    <row r="479" spans="2:8">
      <c r="B479" s="7">
        <v>2025</v>
      </c>
      <c r="C479" s="7" t="s">
        <v>102</v>
      </c>
      <c r="D479" s="7" t="s">
        <v>106</v>
      </c>
      <c r="E479" s="7" t="s">
        <v>9</v>
      </c>
      <c r="F479" s="7" t="s">
        <v>94</v>
      </c>
      <c r="G479" s="7" t="s">
        <v>95</v>
      </c>
      <c r="H479" s="8">
        <v>676</v>
      </c>
    </row>
    <row r="480" spans="2:8">
      <c r="B480" s="7">
        <v>2025</v>
      </c>
      <c r="C480" s="7" t="s">
        <v>102</v>
      </c>
      <c r="D480" s="7" t="s">
        <v>106</v>
      </c>
      <c r="E480" s="7" t="s">
        <v>10</v>
      </c>
      <c r="F480" s="7" t="s">
        <v>92</v>
      </c>
      <c r="G480" s="7" t="s">
        <v>93</v>
      </c>
      <c r="H480" s="8">
        <v>142</v>
      </c>
    </row>
    <row r="481" spans="2:8">
      <c r="B481" s="7">
        <v>2025</v>
      </c>
      <c r="C481" s="7" t="s">
        <v>102</v>
      </c>
      <c r="D481" s="7" t="s">
        <v>106</v>
      </c>
      <c r="E481" s="7" t="s">
        <v>10</v>
      </c>
      <c r="F481" s="7" t="s">
        <v>92</v>
      </c>
      <c r="G481" s="7" t="s">
        <v>95</v>
      </c>
      <c r="H481" s="8">
        <v>71</v>
      </c>
    </row>
    <row r="482" spans="2:8">
      <c r="B482" s="7">
        <v>2025</v>
      </c>
      <c r="C482" s="7" t="s">
        <v>102</v>
      </c>
      <c r="D482" s="7" t="s">
        <v>106</v>
      </c>
      <c r="E482" s="7" t="s">
        <v>10</v>
      </c>
      <c r="F482" s="7" t="s">
        <v>94</v>
      </c>
      <c r="G482" s="7" t="s">
        <v>93</v>
      </c>
      <c r="H482" s="8">
        <v>2019</v>
      </c>
    </row>
    <row r="483" spans="2:8">
      <c r="B483" s="7">
        <v>2025</v>
      </c>
      <c r="C483" s="7" t="s">
        <v>102</v>
      </c>
      <c r="D483" s="7" t="s">
        <v>106</v>
      </c>
      <c r="E483" s="7" t="s">
        <v>10</v>
      </c>
      <c r="F483" s="7" t="s">
        <v>94</v>
      </c>
      <c r="G483" s="7" t="s">
        <v>95</v>
      </c>
      <c r="H483" s="8">
        <v>958</v>
      </c>
    </row>
    <row r="484" spans="2:8">
      <c r="B484" s="7">
        <v>2025</v>
      </c>
      <c r="C484" s="7" t="s">
        <v>102</v>
      </c>
      <c r="D484" s="7" t="s">
        <v>107</v>
      </c>
      <c r="E484" s="7" t="s">
        <v>9</v>
      </c>
      <c r="F484" s="7" t="s">
        <v>92</v>
      </c>
      <c r="G484" s="7" t="s">
        <v>93</v>
      </c>
      <c r="H484" s="8">
        <v>788</v>
      </c>
    </row>
    <row r="485" spans="2:8">
      <c r="B485" s="7">
        <v>2025</v>
      </c>
      <c r="C485" s="7" t="s">
        <v>102</v>
      </c>
      <c r="D485" s="7" t="s">
        <v>107</v>
      </c>
      <c r="E485" s="7" t="s">
        <v>9</v>
      </c>
      <c r="F485" s="7" t="s">
        <v>92</v>
      </c>
      <c r="G485" s="7" t="s">
        <v>95</v>
      </c>
      <c r="H485" s="8">
        <v>539</v>
      </c>
    </row>
    <row r="486" spans="2:8">
      <c r="B486" s="7">
        <v>2025</v>
      </c>
      <c r="C486" s="7" t="s">
        <v>102</v>
      </c>
      <c r="D486" s="7" t="s">
        <v>107</v>
      </c>
      <c r="E486" s="7" t="s">
        <v>9</v>
      </c>
      <c r="F486" s="7" t="s">
        <v>94</v>
      </c>
      <c r="G486" s="7" t="s">
        <v>93</v>
      </c>
      <c r="H486" s="8">
        <v>1141</v>
      </c>
    </row>
    <row r="487" spans="2:8">
      <c r="B487" s="7">
        <v>2025</v>
      </c>
      <c r="C487" s="7" t="s">
        <v>102</v>
      </c>
      <c r="D487" s="7" t="s">
        <v>107</v>
      </c>
      <c r="E487" s="7" t="s">
        <v>9</v>
      </c>
      <c r="F487" s="7" t="s">
        <v>94</v>
      </c>
      <c r="G487" s="7" t="s">
        <v>95</v>
      </c>
      <c r="H487" s="8">
        <v>643</v>
      </c>
    </row>
    <row r="488" spans="2:8">
      <c r="B488" s="7">
        <v>2025</v>
      </c>
      <c r="C488" s="7" t="s">
        <v>102</v>
      </c>
      <c r="D488" s="7" t="s">
        <v>107</v>
      </c>
      <c r="E488" s="7" t="s">
        <v>10</v>
      </c>
      <c r="F488" s="7" t="s">
        <v>92</v>
      </c>
      <c r="G488" s="7" t="s">
        <v>93</v>
      </c>
      <c r="H488" s="8">
        <v>27</v>
      </c>
    </row>
    <row r="489" spans="2:8">
      <c r="B489" s="7">
        <v>2025</v>
      </c>
      <c r="C489" s="7" t="s">
        <v>102</v>
      </c>
      <c r="D489" s="7" t="s">
        <v>107</v>
      </c>
      <c r="E489" s="7" t="s">
        <v>10</v>
      </c>
      <c r="F489" s="7" t="s">
        <v>92</v>
      </c>
      <c r="G489" s="7" t="s">
        <v>95</v>
      </c>
      <c r="H489" s="8">
        <v>17</v>
      </c>
    </row>
    <row r="490" spans="2:8">
      <c r="B490" s="7">
        <v>2025</v>
      </c>
      <c r="C490" s="7" t="s">
        <v>102</v>
      </c>
      <c r="D490" s="7" t="s">
        <v>107</v>
      </c>
      <c r="E490" s="7" t="s">
        <v>10</v>
      </c>
      <c r="F490" s="7" t="s">
        <v>94</v>
      </c>
      <c r="G490" s="7" t="s">
        <v>93</v>
      </c>
      <c r="H490" s="8">
        <v>429</v>
      </c>
    </row>
    <row r="491" spans="2:8">
      <c r="B491" s="7">
        <v>2025</v>
      </c>
      <c r="C491" s="7" t="s">
        <v>102</v>
      </c>
      <c r="D491" s="7" t="s">
        <v>107</v>
      </c>
      <c r="E491" s="7" t="s">
        <v>10</v>
      </c>
      <c r="F491" s="7" t="s">
        <v>94</v>
      </c>
      <c r="G491" s="7" t="s">
        <v>95</v>
      </c>
      <c r="H491" s="8">
        <v>175</v>
      </c>
    </row>
    <row r="492" spans="2:8">
      <c r="B492" s="7">
        <v>2025</v>
      </c>
      <c r="C492" s="7" t="s">
        <v>102</v>
      </c>
      <c r="D492" s="7" t="s">
        <v>108</v>
      </c>
      <c r="E492" s="7" t="s">
        <v>9</v>
      </c>
      <c r="F492" s="7" t="s">
        <v>92</v>
      </c>
      <c r="G492" s="7" t="s">
        <v>93</v>
      </c>
      <c r="H492" s="8">
        <v>2284</v>
      </c>
    </row>
    <row r="493" spans="2:8">
      <c r="B493" s="7">
        <v>2025</v>
      </c>
      <c r="C493" s="7" t="s">
        <v>102</v>
      </c>
      <c r="D493" s="7" t="s">
        <v>108</v>
      </c>
      <c r="E493" s="7" t="s">
        <v>9</v>
      </c>
      <c r="F493" s="7" t="s">
        <v>92</v>
      </c>
      <c r="G493" s="7" t="s">
        <v>95</v>
      </c>
      <c r="H493" s="8">
        <v>1591</v>
      </c>
    </row>
    <row r="494" spans="2:8">
      <c r="B494" s="7">
        <v>2025</v>
      </c>
      <c r="C494" s="7" t="s">
        <v>102</v>
      </c>
      <c r="D494" s="7" t="s">
        <v>108</v>
      </c>
      <c r="E494" s="7" t="s">
        <v>9</v>
      </c>
      <c r="F494" s="7" t="s">
        <v>94</v>
      </c>
      <c r="G494" s="7" t="s">
        <v>93</v>
      </c>
      <c r="H494" s="8">
        <v>3696</v>
      </c>
    </row>
    <row r="495" spans="2:8">
      <c r="B495" s="7">
        <v>2025</v>
      </c>
      <c r="C495" s="7" t="s">
        <v>102</v>
      </c>
      <c r="D495" s="7" t="s">
        <v>108</v>
      </c>
      <c r="E495" s="7" t="s">
        <v>9</v>
      </c>
      <c r="F495" s="7" t="s">
        <v>94</v>
      </c>
      <c r="G495" s="7" t="s">
        <v>95</v>
      </c>
      <c r="H495" s="8">
        <v>1862</v>
      </c>
    </row>
    <row r="496" spans="2:8">
      <c r="B496" s="7">
        <v>2025</v>
      </c>
      <c r="C496" s="7" t="s">
        <v>102</v>
      </c>
      <c r="D496" s="7" t="s">
        <v>108</v>
      </c>
      <c r="E496" s="7" t="s">
        <v>10</v>
      </c>
      <c r="F496" s="7" t="s">
        <v>92</v>
      </c>
      <c r="G496" s="7" t="s">
        <v>93</v>
      </c>
      <c r="H496" s="8">
        <v>44</v>
      </c>
    </row>
    <row r="497" spans="2:8">
      <c r="B497" s="7">
        <v>2025</v>
      </c>
      <c r="C497" s="7" t="s">
        <v>102</v>
      </c>
      <c r="D497" s="7" t="s">
        <v>108</v>
      </c>
      <c r="E497" s="7" t="s">
        <v>10</v>
      </c>
      <c r="F497" s="7" t="s">
        <v>92</v>
      </c>
      <c r="G497" s="7" t="s">
        <v>95</v>
      </c>
      <c r="H497" s="8">
        <v>42</v>
      </c>
    </row>
    <row r="498" spans="2:8">
      <c r="B498" s="7">
        <v>2025</v>
      </c>
      <c r="C498" s="7" t="s">
        <v>102</v>
      </c>
      <c r="D498" s="7" t="s">
        <v>108</v>
      </c>
      <c r="E498" s="7" t="s">
        <v>10</v>
      </c>
      <c r="F498" s="7" t="s">
        <v>94</v>
      </c>
      <c r="G498" s="7" t="s">
        <v>93</v>
      </c>
      <c r="H498" s="8">
        <v>619</v>
      </c>
    </row>
    <row r="499" spans="2:8">
      <c r="B499" s="7">
        <v>2025</v>
      </c>
      <c r="C499" s="7" t="s">
        <v>102</v>
      </c>
      <c r="D499" s="7" t="s">
        <v>108</v>
      </c>
      <c r="E499" s="7" t="s">
        <v>10</v>
      </c>
      <c r="F499" s="7" t="s">
        <v>94</v>
      </c>
      <c r="G499" s="7" t="s">
        <v>95</v>
      </c>
      <c r="H499" s="8">
        <v>224</v>
      </c>
    </row>
    <row r="500" spans="2:8">
      <c r="B500" s="7">
        <v>2025</v>
      </c>
      <c r="C500" s="7" t="s">
        <v>102</v>
      </c>
      <c r="D500" s="7" t="s">
        <v>109</v>
      </c>
      <c r="E500" s="7" t="s">
        <v>9</v>
      </c>
      <c r="F500" s="7" t="s">
        <v>92</v>
      </c>
      <c r="G500" s="7" t="s">
        <v>93</v>
      </c>
      <c r="H500" s="8">
        <v>877</v>
      </c>
    </row>
    <row r="501" spans="2:8">
      <c r="B501" s="7">
        <v>2025</v>
      </c>
      <c r="C501" s="7" t="s">
        <v>102</v>
      </c>
      <c r="D501" s="7" t="s">
        <v>109</v>
      </c>
      <c r="E501" s="7" t="s">
        <v>9</v>
      </c>
      <c r="F501" s="7" t="s">
        <v>92</v>
      </c>
      <c r="G501" s="7" t="s">
        <v>95</v>
      </c>
      <c r="H501" s="8">
        <v>450</v>
      </c>
    </row>
    <row r="502" spans="2:8">
      <c r="B502" s="7">
        <v>2025</v>
      </c>
      <c r="C502" s="7" t="s">
        <v>102</v>
      </c>
      <c r="D502" s="7" t="s">
        <v>109</v>
      </c>
      <c r="E502" s="7" t="s">
        <v>9</v>
      </c>
      <c r="F502" s="7" t="s">
        <v>94</v>
      </c>
      <c r="G502" s="7" t="s">
        <v>93</v>
      </c>
      <c r="H502" s="8">
        <v>944</v>
      </c>
    </row>
    <row r="503" spans="2:8">
      <c r="B503" s="7">
        <v>2025</v>
      </c>
      <c r="C503" s="7" t="s">
        <v>102</v>
      </c>
      <c r="D503" s="7" t="s">
        <v>109</v>
      </c>
      <c r="E503" s="7" t="s">
        <v>9</v>
      </c>
      <c r="F503" s="7" t="s">
        <v>94</v>
      </c>
      <c r="G503" s="7" t="s">
        <v>95</v>
      </c>
      <c r="H503" s="8">
        <v>442</v>
      </c>
    </row>
    <row r="504" spans="2:8">
      <c r="B504" s="7">
        <v>2025</v>
      </c>
      <c r="C504" s="7" t="s">
        <v>102</v>
      </c>
      <c r="D504" s="7" t="s">
        <v>109</v>
      </c>
      <c r="E504" s="7" t="s">
        <v>10</v>
      </c>
      <c r="F504" s="7" t="s">
        <v>92</v>
      </c>
      <c r="G504" s="7" t="s">
        <v>93</v>
      </c>
      <c r="H504" s="8">
        <v>46</v>
      </c>
    </row>
    <row r="505" spans="2:8">
      <c r="B505" s="7">
        <v>2025</v>
      </c>
      <c r="C505" s="7" t="s">
        <v>102</v>
      </c>
      <c r="D505" s="7" t="s">
        <v>109</v>
      </c>
      <c r="E505" s="7" t="s">
        <v>10</v>
      </c>
      <c r="F505" s="7" t="s">
        <v>92</v>
      </c>
      <c r="G505" s="7" t="s">
        <v>95</v>
      </c>
      <c r="H505" s="8">
        <v>20</v>
      </c>
    </row>
    <row r="506" spans="2:8">
      <c r="B506" s="7">
        <v>2025</v>
      </c>
      <c r="C506" s="7" t="s">
        <v>102</v>
      </c>
      <c r="D506" s="7" t="s">
        <v>109</v>
      </c>
      <c r="E506" s="7" t="s">
        <v>10</v>
      </c>
      <c r="F506" s="7" t="s">
        <v>94</v>
      </c>
      <c r="G506" s="7" t="s">
        <v>93</v>
      </c>
      <c r="H506" s="8">
        <v>228</v>
      </c>
    </row>
    <row r="507" spans="2:8">
      <c r="B507" s="7">
        <v>2025</v>
      </c>
      <c r="C507" s="7" t="s">
        <v>102</v>
      </c>
      <c r="D507" s="7" t="s">
        <v>109</v>
      </c>
      <c r="E507" s="7" t="s">
        <v>10</v>
      </c>
      <c r="F507" s="7" t="s">
        <v>94</v>
      </c>
      <c r="G507" s="7" t="s">
        <v>95</v>
      </c>
      <c r="H507" s="8">
        <v>101</v>
      </c>
    </row>
    <row r="508" spans="2:8">
      <c r="B508" s="7">
        <v>2025</v>
      </c>
      <c r="C508" s="7" t="s">
        <v>102</v>
      </c>
      <c r="D508" s="7" t="s">
        <v>110</v>
      </c>
      <c r="E508" s="7" t="s">
        <v>9</v>
      </c>
      <c r="F508" s="7" t="s">
        <v>92</v>
      </c>
      <c r="G508" s="7" t="s">
        <v>93</v>
      </c>
      <c r="H508" s="8">
        <v>597</v>
      </c>
    </row>
    <row r="509" spans="2:8">
      <c r="B509" s="7">
        <v>2025</v>
      </c>
      <c r="C509" s="7" t="s">
        <v>102</v>
      </c>
      <c r="D509" s="7" t="s">
        <v>110</v>
      </c>
      <c r="E509" s="7" t="s">
        <v>9</v>
      </c>
      <c r="F509" s="7" t="s">
        <v>92</v>
      </c>
      <c r="G509" s="7" t="s">
        <v>95</v>
      </c>
      <c r="H509" s="8">
        <v>373</v>
      </c>
    </row>
    <row r="510" spans="2:8">
      <c r="B510" s="7">
        <v>2025</v>
      </c>
      <c r="C510" s="7" t="s">
        <v>102</v>
      </c>
      <c r="D510" s="7" t="s">
        <v>110</v>
      </c>
      <c r="E510" s="7" t="s">
        <v>9</v>
      </c>
      <c r="F510" s="7" t="s">
        <v>94</v>
      </c>
      <c r="G510" s="7" t="s">
        <v>93</v>
      </c>
      <c r="H510" s="8">
        <v>1186</v>
      </c>
    </row>
    <row r="511" spans="2:8">
      <c r="B511" s="7">
        <v>2025</v>
      </c>
      <c r="C511" s="7" t="s">
        <v>102</v>
      </c>
      <c r="D511" s="7" t="s">
        <v>110</v>
      </c>
      <c r="E511" s="7" t="s">
        <v>9</v>
      </c>
      <c r="F511" s="7" t="s">
        <v>94</v>
      </c>
      <c r="G511" s="7" t="s">
        <v>95</v>
      </c>
      <c r="H511" s="8">
        <v>543</v>
      </c>
    </row>
    <row r="512" spans="2:8">
      <c r="B512" s="7">
        <v>2025</v>
      </c>
      <c r="C512" s="7" t="s">
        <v>102</v>
      </c>
      <c r="D512" s="7" t="s">
        <v>110</v>
      </c>
      <c r="E512" s="7" t="s">
        <v>10</v>
      </c>
      <c r="F512" s="7" t="s">
        <v>92</v>
      </c>
      <c r="G512" s="7" t="s">
        <v>93</v>
      </c>
      <c r="H512" s="8">
        <v>13</v>
      </c>
    </row>
    <row r="513" spans="2:8">
      <c r="B513" s="7">
        <v>2025</v>
      </c>
      <c r="C513" s="7" t="s">
        <v>102</v>
      </c>
      <c r="D513" s="7" t="s">
        <v>110</v>
      </c>
      <c r="E513" s="7" t="s">
        <v>10</v>
      </c>
      <c r="F513" s="7" t="s">
        <v>92</v>
      </c>
      <c r="G513" s="7" t="s">
        <v>95</v>
      </c>
      <c r="H513" s="8">
        <v>6</v>
      </c>
    </row>
    <row r="514" spans="2:8">
      <c r="B514" s="7">
        <v>2025</v>
      </c>
      <c r="C514" s="7" t="s">
        <v>102</v>
      </c>
      <c r="D514" s="7" t="s">
        <v>110</v>
      </c>
      <c r="E514" s="7" t="s">
        <v>10</v>
      </c>
      <c r="F514" s="7" t="s">
        <v>94</v>
      </c>
      <c r="G514" s="7" t="s">
        <v>93</v>
      </c>
      <c r="H514" s="8">
        <v>115</v>
      </c>
    </row>
    <row r="515" spans="2:8">
      <c r="B515" s="7">
        <v>2025</v>
      </c>
      <c r="C515" s="7" t="s">
        <v>102</v>
      </c>
      <c r="D515" s="7" t="s">
        <v>110</v>
      </c>
      <c r="E515" s="7" t="s">
        <v>10</v>
      </c>
      <c r="F515" s="7" t="s">
        <v>94</v>
      </c>
      <c r="G515" s="7" t="s">
        <v>95</v>
      </c>
      <c r="H515" s="8">
        <v>53</v>
      </c>
    </row>
    <row r="516" spans="2:8">
      <c r="B516" s="7">
        <v>2025</v>
      </c>
      <c r="C516" s="7" t="s">
        <v>102</v>
      </c>
      <c r="D516" s="7" t="s">
        <v>111</v>
      </c>
      <c r="E516" s="7" t="s">
        <v>9</v>
      </c>
      <c r="F516" s="7" t="s">
        <v>92</v>
      </c>
      <c r="G516" s="7" t="s">
        <v>93</v>
      </c>
      <c r="H516" s="8">
        <v>663</v>
      </c>
    </row>
    <row r="517" spans="2:8">
      <c r="B517" s="7">
        <v>2025</v>
      </c>
      <c r="C517" s="7" t="s">
        <v>102</v>
      </c>
      <c r="D517" s="7" t="s">
        <v>111</v>
      </c>
      <c r="E517" s="7" t="s">
        <v>9</v>
      </c>
      <c r="F517" s="7" t="s">
        <v>92</v>
      </c>
      <c r="G517" s="7" t="s">
        <v>95</v>
      </c>
      <c r="H517" s="8">
        <v>381</v>
      </c>
    </row>
    <row r="518" spans="2:8">
      <c r="B518" s="7">
        <v>2025</v>
      </c>
      <c r="C518" s="7" t="s">
        <v>102</v>
      </c>
      <c r="D518" s="7" t="s">
        <v>111</v>
      </c>
      <c r="E518" s="7" t="s">
        <v>9</v>
      </c>
      <c r="F518" s="7" t="s">
        <v>94</v>
      </c>
      <c r="G518" s="7" t="s">
        <v>93</v>
      </c>
      <c r="H518" s="8">
        <v>525</v>
      </c>
    </row>
    <row r="519" spans="2:8">
      <c r="B519" s="7">
        <v>2025</v>
      </c>
      <c r="C519" s="7" t="s">
        <v>102</v>
      </c>
      <c r="D519" s="7" t="s">
        <v>111</v>
      </c>
      <c r="E519" s="7" t="s">
        <v>9</v>
      </c>
      <c r="F519" s="7" t="s">
        <v>94</v>
      </c>
      <c r="G519" s="7" t="s">
        <v>95</v>
      </c>
      <c r="H519" s="8">
        <v>248</v>
      </c>
    </row>
    <row r="520" spans="2:8">
      <c r="B520" s="7">
        <v>2025</v>
      </c>
      <c r="C520" s="7" t="s">
        <v>102</v>
      </c>
      <c r="D520" s="7" t="s">
        <v>111</v>
      </c>
      <c r="E520" s="7" t="s">
        <v>10</v>
      </c>
      <c r="F520" s="7" t="s">
        <v>92</v>
      </c>
      <c r="G520" s="7" t="s">
        <v>93</v>
      </c>
      <c r="H520" s="8">
        <v>83</v>
      </c>
    </row>
    <row r="521" spans="2:8">
      <c r="B521" s="7">
        <v>2025</v>
      </c>
      <c r="C521" s="7" t="s">
        <v>102</v>
      </c>
      <c r="D521" s="7" t="s">
        <v>111</v>
      </c>
      <c r="E521" s="7" t="s">
        <v>10</v>
      </c>
      <c r="F521" s="7" t="s">
        <v>92</v>
      </c>
      <c r="G521" s="7" t="s">
        <v>95</v>
      </c>
      <c r="H521" s="8">
        <v>28</v>
      </c>
    </row>
    <row r="522" spans="2:8">
      <c r="B522" s="7">
        <v>2025</v>
      </c>
      <c r="C522" s="7" t="s">
        <v>102</v>
      </c>
      <c r="D522" s="7" t="s">
        <v>111</v>
      </c>
      <c r="E522" s="7" t="s">
        <v>10</v>
      </c>
      <c r="F522" s="7" t="s">
        <v>94</v>
      </c>
      <c r="G522" s="7" t="s">
        <v>93</v>
      </c>
      <c r="H522" s="8">
        <v>246</v>
      </c>
    </row>
    <row r="523" spans="2:8">
      <c r="B523" s="7">
        <v>2025</v>
      </c>
      <c r="C523" s="7" t="s">
        <v>102</v>
      </c>
      <c r="D523" s="7" t="s">
        <v>111</v>
      </c>
      <c r="E523" s="7" t="s">
        <v>10</v>
      </c>
      <c r="F523" s="7" t="s">
        <v>94</v>
      </c>
      <c r="G523" s="7" t="s">
        <v>95</v>
      </c>
      <c r="H523" s="8">
        <v>107</v>
      </c>
    </row>
    <row r="524" spans="2:8">
      <c r="B524" s="7">
        <v>2025</v>
      </c>
      <c r="C524" s="7" t="s">
        <v>112</v>
      </c>
      <c r="D524" s="7" t="s">
        <v>113</v>
      </c>
      <c r="E524" s="7" t="s">
        <v>9</v>
      </c>
      <c r="F524" s="7" t="s">
        <v>92</v>
      </c>
      <c r="G524" s="7" t="s">
        <v>93</v>
      </c>
      <c r="H524" s="8">
        <v>838</v>
      </c>
    </row>
    <row r="525" spans="2:8">
      <c r="B525" s="7">
        <v>2025</v>
      </c>
      <c r="C525" s="7" t="s">
        <v>112</v>
      </c>
      <c r="D525" s="7" t="s">
        <v>113</v>
      </c>
      <c r="E525" s="7" t="s">
        <v>9</v>
      </c>
      <c r="F525" s="7" t="s">
        <v>92</v>
      </c>
      <c r="G525" s="7" t="s">
        <v>95</v>
      </c>
      <c r="H525" s="8">
        <v>569</v>
      </c>
    </row>
    <row r="526" spans="2:8">
      <c r="B526" s="7">
        <v>2025</v>
      </c>
      <c r="C526" s="7" t="s">
        <v>112</v>
      </c>
      <c r="D526" s="7" t="s">
        <v>113</v>
      </c>
      <c r="E526" s="7" t="s">
        <v>9</v>
      </c>
      <c r="F526" s="7" t="s">
        <v>94</v>
      </c>
      <c r="G526" s="7" t="s">
        <v>93</v>
      </c>
      <c r="H526" s="8">
        <v>924</v>
      </c>
    </row>
    <row r="527" spans="2:8">
      <c r="B527" s="7">
        <v>2025</v>
      </c>
      <c r="C527" s="7" t="s">
        <v>112</v>
      </c>
      <c r="D527" s="7" t="s">
        <v>113</v>
      </c>
      <c r="E527" s="7" t="s">
        <v>9</v>
      </c>
      <c r="F527" s="7" t="s">
        <v>94</v>
      </c>
      <c r="G527" s="7" t="s">
        <v>95</v>
      </c>
      <c r="H527" s="8">
        <v>589</v>
      </c>
    </row>
    <row r="528" spans="2:8">
      <c r="B528" s="7">
        <v>2025</v>
      </c>
      <c r="C528" s="7" t="s">
        <v>112</v>
      </c>
      <c r="D528" s="7" t="s">
        <v>113</v>
      </c>
      <c r="E528" s="7" t="s">
        <v>10</v>
      </c>
      <c r="F528" s="7" t="s">
        <v>92</v>
      </c>
      <c r="G528" s="7" t="s">
        <v>93</v>
      </c>
      <c r="H528" s="8">
        <v>95</v>
      </c>
    </row>
    <row r="529" spans="2:8">
      <c r="B529" s="7">
        <v>2025</v>
      </c>
      <c r="C529" s="7" t="s">
        <v>112</v>
      </c>
      <c r="D529" s="7" t="s">
        <v>113</v>
      </c>
      <c r="E529" s="7" t="s">
        <v>10</v>
      </c>
      <c r="F529" s="7" t="s">
        <v>92</v>
      </c>
      <c r="G529" s="7" t="s">
        <v>95</v>
      </c>
      <c r="H529" s="8">
        <v>54</v>
      </c>
    </row>
    <row r="530" spans="2:8">
      <c r="B530" s="7">
        <v>2025</v>
      </c>
      <c r="C530" s="7" t="s">
        <v>112</v>
      </c>
      <c r="D530" s="7" t="s">
        <v>113</v>
      </c>
      <c r="E530" s="7" t="s">
        <v>10</v>
      </c>
      <c r="F530" s="7" t="s">
        <v>94</v>
      </c>
      <c r="G530" s="7" t="s">
        <v>93</v>
      </c>
      <c r="H530" s="8">
        <v>434</v>
      </c>
    </row>
    <row r="531" spans="2:8">
      <c r="B531" s="7">
        <v>2025</v>
      </c>
      <c r="C531" s="7" t="s">
        <v>112</v>
      </c>
      <c r="D531" s="7" t="s">
        <v>113</v>
      </c>
      <c r="E531" s="7" t="s">
        <v>10</v>
      </c>
      <c r="F531" s="7" t="s">
        <v>94</v>
      </c>
      <c r="G531" s="7" t="s">
        <v>95</v>
      </c>
      <c r="H531" s="8">
        <v>136</v>
      </c>
    </row>
    <row r="532" spans="2:8">
      <c r="B532" s="7">
        <v>2025</v>
      </c>
      <c r="C532" s="7" t="s">
        <v>112</v>
      </c>
      <c r="D532" s="7" t="s">
        <v>114</v>
      </c>
      <c r="E532" s="7" t="s">
        <v>9</v>
      </c>
      <c r="F532" s="7" t="s">
        <v>92</v>
      </c>
      <c r="G532" s="7" t="s">
        <v>93</v>
      </c>
      <c r="H532" s="8">
        <v>1128</v>
      </c>
    </row>
    <row r="533" spans="2:8">
      <c r="B533" s="7">
        <v>2025</v>
      </c>
      <c r="C533" s="7" t="s">
        <v>112</v>
      </c>
      <c r="D533" s="7" t="s">
        <v>114</v>
      </c>
      <c r="E533" s="7" t="s">
        <v>9</v>
      </c>
      <c r="F533" s="7" t="s">
        <v>92</v>
      </c>
      <c r="G533" s="7" t="s">
        <v>95</v>
      </c>
      <c r="H533" s="8">
        <v>573</v>
      </c>
    </row>
    <row r="534" spans="2:8">
      <c r="B534" s="7">
        <v>2025</v>
      </c>
      <c r="C534" s="7" t="s">
        <v>112</v>
      </c>
      <c r="D534" s="7" t="s">
        <v>114</v>
      </c>
      <c r="E534" s="7" t="s">
        <v>9</v>
      </c>
      <c r="F534" s="7" t="s">
        <v>94</v>
      </c>
      <c r="G534" s="7" t="s">
        <v>93</v>
      </c>
      <c r="H534" s="8">
        <v>1969</v>
      </c>
    </row>
    <row r="535" spans="2:8">
      <c r="B535" s="7">
        <v>2025</v>
      </c>
      <c r="C535" s="7" t="s">
        <v>112</v>
      </c>
      <c r="D535" s="7" t="s">
        <v>114</v>
      </c>
      <c r="E535" s="7" t="s">
        <v>9</v>
      </c>
      <c r="F535" s="7" t="s">
        <v>94</v>
      </c>
      <c r="G535" s="7" t="s">
        <v>95</v>
      </c>
      <c r="H535" s="8">
        <v>905</v>
      </c>
    </row>
    <row r="536" spans="2:8">
      <c r="B536" s="7">
        <v>2025</v>
      </c>
      <c r="C536" s="7" t="s">
        <v>112</v>
      </c>
      <c r="D536" s="7" t="s">
        <v>114</v>
      </c>
      <c r="E536" s="7" t="s">
        <v>10</v>
      </c>
      <c r="F536" s="7" t="s">
        <v>92</v>
      </c>
      <c r="G536" s="7" t="s">
        <v>93</v>
      </c>
      <c r="H536" s="8">
        <v>88</v>
      </c>
    </row>
    <row r="537" spans="2:8">
      <c r="B537" s="7">
        <v>2025</v>
      </c>
      <c r="C537" s="7" t="s">
        <v>112</v>
      </c>
      <c r="D537" s="7" t="s">
        <v>114</v>
      </c>
      <c r="E537" s="7" t="s">
        <v>10</v>
      </c>
      <c r="F537" s="7" t="s">
        <v>92</v>
      </c>
      <c r="G537" s="7" t="s">
        <v>95</v>
      </c>
      <c r="H537" s="8">
        <v>59</v>
      </c>
    </row>
    <row r="538" spans="2:8">
      <c r="B538" s="7">
        <v>2025</v>
      </c>
      <c r="C538" s="7" t="s">
        <v>112</v>
      </c>
      <c r="D538" s="7" t="s">
        <v>114</v>
      </c>
      <c r="E538" s="7" t="s">
        <v>10</v>
      </c>
      <c r="F538" s="7" t="s">
        <v>94</v>
      </c>
      <c r="G538" s="7" t="s">
        <v>93</v>
      </c>
      <c r="H538" s="8">
        <v>1336</v>
      </c>
    </row>
    <row r="539" spans="2:8">
      <c r="B539" s="7">
        <v>2025</v>
      </c>
      <c r="C539" s="7" t="s">
        <v>112</v>
      </c>
      <c r="D539" s="7" t="s">
        <v>114</v>
      </c>
      <c r="E539" s="7" t="s">
        <v>10</v>
      </c>
      <c r="F539" s="7" t="s">
        <v>94</v>
      </c>
      <c r="G539" s="7" t="s">
        <v>95</v>
      </c>
      <c r="H539" s="8">
        <v>503</v>
      </c>
    </row>
    <row r="540" spans="2:8">
      <c r="B540" s="7">
        <v>2025</v>
      </c>
      <c r="C540" s="7" t="s">
        <v>112</v>
      </c>
      <c r="D540" s="7" t="s">
        <v>115</v>
      </c>
      <c r="E540" s="7" t="s">
        <v>9</v>
      </c>
      <c r="F540" s="7" t="s">
        <v>92</v>
      </c>
      <c r="G540" s="7" t="s">
        <v>93</v>
      </c>
      <c r="H540" s="8">
        <v>379</v>
      </c>
    </row>
    <row r="541" spans="2:8">
      <c r="B541" s="7">
        <v>2025</v>
      </c>
      <c r="C541" s="7" t="s">
        <v>112</v>
      </c>
      <c r="D541" s="7" t="s">
        <v>115</v>
      </c>
      <c r="E541" s="7" t="s">
        <v>9</v>
      </c>
      <c r="F541" s="7" t="s">
        <v>92</v>
      </c>
      <c r="G541" s="7" t="s">
        <v>95</v>
      </c>
      <c r="H541" s="8">
        <v>194</v>
      </c>
    </row>
    <row r="542" spans="2:8">
      <c r="B542" s="7">
        <v>2025</v>
      </c>
      <c r="C542" s="7" t="s">
        <v>112</v>
      </c>
      <c r="D542" s="7" t="s">
        <v>115</v>
      </c>
      <c r="E542" s="7" t="s">
        <v>9</v>
      </c>
      <c r="F542" s="7" t="s">
        <v>94</v>
      </c>
      <c r="G542" s="7" t="s">
        <v>93</v>
      </c>
      <c r="H542" s="8">
        <v>229</v>
      </c>
    </row>
    <row r="543" spans="2:8">
      <c r="B543" s="7">
        <v>2025</v>
      </c>
      <c r="C543" s="7" t="s">
        <v>112</v>
      </c>
      <c r="D543" s="7" t="s">
        <v>115</v>
      </c>
      <c r="E543" s="7" t="s">
        <v>9</v>
      </c>
      <c r="F543" s="7" t="s">
        <v>94</v>
      </c>
      <c r="G543" s="7" t="s">
        <v>95</v>
      </c>
      <c r="H543" s="8">
        <v>109</v>
      </c>
    </row>
    <row r="544" spans="2:8">
      <c r="B544" s="7">
        <v>2025</v>
      </c>
      <c r="C544" s="7" t="s">
        <v>112</v>
      </c>
      <c r="D544" s="7" t="s">
        <v>115</v>
      </c>
      <c r="E544" s="7" t="s">
        <v>10</v>
      </c>
      <c r="F544" s="7" t="s">
        <v>92</v>
      </c>
      <c r="G544" s="7" t="s">
        <v>93</v>
      </c>
      <c r="H544" s="8">
        <v>4</v>
      </c>
    </row>
    <row r="545" spans="2:8">
      <c r="B545" s="7">
        <v>2025</v>
      </c>
      <c r="C545" s="7" t="s">
        <v>112</v>
      </c>
      <c r="D545" s="7" t="s">
        <v>115</v>
      </c>
      <c r="E545" s="7" t="s">
        <v>10</v>
      </c>
      <c r="F545" s="7" t="s">
        <v>92</v>
      </c>
      <c r="G545" s="7" t="s">
        <v>95</v>
      </c>
      <c r="H545" s="8">
        <v>8</v>
      </c>
    </row>
    <row r="546" spans="2:8">
      <c r="B546" s="7">
        <v>2025</v>
      </c>
      <c r="C546" s="7" t="s">
        <v>112</v>
      </c>
      <c r="D546" s="7" t="s">
        <v>115</v>
      </c>
      <c r="E546" s="7" t="s">
        <v>10</v>
      </c>
      <c r="F546" s="7" t="s">
        <v>94</v>
      </c>
      <c r="G546" s="7" t="s">
        <v>93</v>
      </c>
      <c r="H546" s="8">
        <v>323</v>
      </c>
    </row>
    <row r="547" spans="2:8">
      <c r="B547" s="7">
        <v>2025</v>
      </c>
      <c r="C547" s="7" t="s">
        <v>112</v>
      </c>
      <c r="D547" s="7" t="s">
        <v>115</v>
      </c>
      <c r="E547" s="7" t="s">
        <v>10</v>
      </c>
      <c r="F547" s="7" t="s">
        <v>94</v>
      </c>
      <c r="G547" s="7" t="s">
        <v>95</v>
      </c>
      <c r="H547" s="8">
        <v>160</v>
      </c>
    </row>
    <row r="548" spans="2:8">
      <c r="B548" s="7">
        <v>2025</v>
      </c>
      <c r="C548" s="7" t="s">
        <v>112</v>
      </c>
      <c r="D548" s="7" t="s">
        <v>116</v>
      </c>
      <c r="E548" s="7" t="s">
        <v>9</v>
      </c>
      <c r="F548" s="7" t="s">
        <v>92</v>
      </c>
      <c r="G548" s="7" t="s">
        <v>93</v>
      </c>
      <c r="H548" s="8">
        <v>369</v>
      </c>
    </row>
    <row r="549" spans="2:8">
      <c r="B549" s="7">
        <v>2025</v>
      </c>
      <c r="C549" s="7" t="s">
        <v>112</v>
      </c>
      <c r="D549" s="7" t="s">
        <v>116</v>
      </c>
      <c r="E549" s="7" t="s">
        <v>9</v>
      </c>
      <c r="F549" s="7" t="s">
        <v>92</v>
      </c>
      <c r="G549" s="7" t="s">
        <v>95</v>
      </c>
      <c r="H549" s="8">
        <v>162</v>
      </c>
    </row>
    <row r="550" spans="2:8">
      <c r="B550" s="7">
        <v>2025</v>
      </c>
      <c r="C550" s="7" t="s">
        <v>112</v>
      </c>
      <c r="D550" s="7" t="s">
        <v>116</v>
      </c>
      <c r="E550" s="7" t="s">
        <v>9</v>
      </c>
      <c r="F550" s="7" t="s">
        <v>94</v>
      </c>
      <c r="G550" s="7" t="s">
        <v>93</v>
      </c>
      <c r="H550" s="8">
        <v>321</v>
      </c>
    </row>
    <row r="551" spans="2:8">
      <c r="B551" s="7">
        <v>2025</v>
      </c>
      <c r="C551" s="7" t="s">
        <v>112</v>
      </c>
      <c r="D551" s="7" t="s">
        <v>116</v>
      </c>
      <c r="E551" s="7" t="s">
        <v>9</v>
      </c>
      <c r="F551" s="7" t="s">
        <v>94</v>
      </c>
      <c r="G551" s="7" t="s">
        <v>95</v>
      </c>
      <c r="H551" s="8">
        <v>157</v>
      </c>
    </row>
    <row r="552" spans="2:8">
      <c r="B552" s="7">
        <v>2025</v>
      </c>
      <c r="C552" s="7" t="s">
        <v>112</v>
      </c>
      <c r="D552" s="7" t="s">
        <v>116</v>
      </c>
      <c r="E552" s="7" t="s">
        <v>10</v>
      </c>
      <c r="F552" s="7" t="s">
        <v>92</v>
      </c>
      <c r="G552" s="7" t="s">
        <v>93</v>
      </c>
      <c r="H552" s="8">
        <v>8</v>
      </c>
    </row>
    <row r="553" spans="2:8">
      <c r="B553" s="7">
        <v>2025</v>
      </c>
      <c r="C553" s="7" t="s">
        <v>112</v>
      </c>
      <c r="D553" s="7" t="s">
        <v>116</v>
      </c>
      <c r="E553" s="7" t="s">
        <v>10</v>
      </c>
      <c r="F553" s="7" t="s">
        <v>92</v>
      </c>
      <c r="G553" s="7" t="s">
        <v>95</v>
      </c>
      <c r="H553" s="8">
        <v>5</v>
      </c>
    </row>
    <row r="554" spans="2:8">
      <c r="B554" s="7">
        <v>2025</v>
      </c>
      <c r="C554" s="7" t="s">
        <v>112</v>
      </c>
      <c r="D554" s="7" t="s">
        <v>116</v>
      </c>
      <c r="E554" s="7" t="s">
        <v>10</v>
      </c>
      <c r="F554" s="7" t="s">
        <v>94</v>
      </c>
      <c r="G554" s="7" t="s">
        <v>93</v>
      </c>
      <c r="H554" s="8">
        <v>642</v>
      </c>
    </row>
    <row r="555" spans="2:8">
      <c r="B555" s="7">
        <v>2025</v>
      </c>
      <c r="C555" s="7" t="s">
        <v>112</v>
      </c>
      <c r="D555" s="7" t="s">
        <v>116</v>
      </c>
      <c r="E555" s="7" t="s">
        <v>10</v>
      </c>
      <c r="F555" s="7" t="s">
        <v>94</v>
      </c>
      <c r="G555" s="7" t="s">
        <v>95</v>
      </c>
      <c r="H555" s="8">
        <v>249</v>
      </c>
    </row>
    <row r="556" spans="2:8">
      <c r="B556" s="7">
        <v>2025</v>
      </c>
      <c r="C556" s="7" t="s">
        <v>117</v>
      </c>
      <c r="D556" s="7" t="s">
        <v>118</v>
      </c>
      <c r="E556" s="7" t="s">
        <v>9</v>
      </c>
      <c r="F556" s="7" t="s">
        <v>92</v>
      </c>
      <c r="G556" s="7" t="s">
        <v>93</v>
      </c>
      <c r="H556" s="8">
        <v>768</v>
      </c>
    </row>
    <row r="557" spans="2:8">
      <c r="B557" s="7">
        <v>2025</v>
      </c>
      <c r="C557" s="7" t="s">
        <v>117</v>
      </c>
      <c r="D557" s="7" t="s">
        <v>118</v>
      </c>
      <c r="E557" s="7" t="s">
        <v>9</v>
      </c>
      <c r="F557" s="7" t="s">
        <v>92</v>
      </c>
      <c r="G557" s="7" t="s">
        <v>95</v>
      </c>
      <c r="H557" s="8">
        <v>407</v>
      </c>
    </row>
    <row r="558" spans="2:8">
      <c r="B558" s="7">
        <v>2025</v>
      </c>
      <c r="C558" s="7" t="s">
        <v>117</v>
      </c>
      <c r="D558" s="7" t="s">
        <v>118</v>
      </c>
      <c r="E558" s="7" t="s">
        <v>9</v>
      </c>
      <c r="F558" s="7" t="s">
        <v>94</v>
      </c>
      <c r="G558" s="7" t="s">
        <v>93</v>
      </c>
      <c r="H558" s="8">
        <v>1095</v>
      </c>
    </row>
    <row r="559" spans="2:8">
      <c r="B559" s="7">
        <v>2025</v>
      </c>
      <c r="C559" s="7" t="s">
        <v>117</v>
      </c>
      <c r="D559" s="7" t="s">
        <v>118</v>
      </c>
      <c r="E559" s="7" t="s">
        <v>9</v>
      </c>
      <c r="F559" s="7" t="s">
        <v>94</v>
      </c>
      <c r="G559" s="7" t="s">
        <v>95</v>
      </c>
      <c r="H559" s="8">
        <v>477</v>
      </c>
    </row>
    <row r="560" spans="2:8">
      <c r="B560" s="7">
        <v>2025</v>
      </c>
      <c r="C560" s="7" t="s">
        <v>117</v>
      </c>
      <c r="D560" s="7" t="s">
        <v>118</v>
      </c>
      <c r="E560" s="7" t="s">
        <v>10</v>
      </c>
      <c r="F560" s="7" t="s">
        <v>92</v>
      </c>
      <c r="G560" s="7" t="s">
        <v>93</v>
      </c>
      <c r="H560" s="8">
        <v>107</v>
      </c>
    </row>
    <row r="561" spans="2:8">
      <c r="B561" s="7">
        <v>2025</v>
      </c>
      <c r="C561" s="7" t="s">
        <v>117</v>
      </c>
      <c r="D561" s="7" t="s">
        <v>118</v>
      </c>
      <c r="E561" s="7" t="s">
        <v>10</v>
      </c>
      <c r="F561" s="7" t="s">
        <v>92</v>
      </c>
      <c r="G561" s="7" t="s">
        <v>95</v>
      </c>
      <c r="H561" s="8">
        <v>64</v>
      </c>
    </row>
    <row r="562" spans="2:8">
      <c r="B562" s="7">
        <v>2025</v>
      </c>
      <c r="C562" s="7" t="s">
        <v>117</v>
      </c>
      <c r="D562" s="7" t="s">
        <v>118</v>
      </c>
      <c r="E562" s="7" t="s">
        <v>10</v>
      </c>
      <c r="F562" s="7" t="s">
        <v>94</v>
      </c>
      <c r="G562" s="7" t="s">
        <v>93</v>
      </c>
      <c r="H562" s="8">
        <v>829</v>
      </c>
    </row>
    <row r="563" spans="2:8">
      <c r="B563" s="7">
        <v>2025</v>
      </c>
      <c r="C563" s="7" t="s">
        <v>117</v>
      </c>
      <c r="D563" s="7" t="s">
        <v>118</v>
      </c>
      <c r="E563" s="7" t="s">
        <v>10</v>
      </c>
      <c r="F563" s="7" t="s">
        <v>94</v>
      </c>
      <c r="G563" s="7" t="s">
        <v>95</v>
      </c>
      <c r="H563" s="8">
        <v>301</v>
      </c>
    </row>
    <row r="564" spans="2:8">
      <c r="B564" s="7">
        <v>2025</v>
      </c>
      <c r="C564" s="7" t="s">
        <v>117</v>
      </c>
      <c r="D564" s="7" t="s">
        <v>119</v>
      </c>
      <c r="E564" s="7" t="s">
        <v>9</v>
      </c>
      <c r="F564" s="7" t="s">
        <v>92</v>
      </c>
      <c r="G564" s="7" t="s">
        <v>93</v>
      </c>
      <c r="H564" s="8">
        <v>3426</v>
      </c>
    </row>
    <row r="565" spans="2:8">
      <c r="B565" s="7">
        <v>2025</v>
      </c>
      <c r="C565" s="7" t="s">
        <v>117</v>
      </c>
      <c r="D565" s="7" t="s">
        <v>119</v>
      </c>
      <c r="E565" s="7" t="s">
        <v>9</v>
      </c>
      <c r="F565" s="7" t="s">
        <v>92</v>
      </c>
      <c r="G565" s="7" t="s">
        <v>95</v>
      </c>
      <c r="H565" s="8">
        <v>1935</v>
      </c>
    </row>
    <row r="566" spans="2:8">
      <c r="B566" s="7">
        <v>2025</v>
      </c>
      <c r="C566" s="7" t="s">
        <v>117</v>
      </c>
      <c r="D566" s="7" t="s">
        <v>119</v>
      </c>
      <c r="E566" s="7" t="s">
        <v>9</v>
      </c>
      <c r="F566" s="7" t="s">
        <v>94</v>
      </c>
      <c r="G566" s="7" t="s">
        <v>93</v>
      </c>
      <c r="H566" s="8">
        <v>4538</v>
      </c>
    </row>
    <row r="567" spans="2:8">
      <c r="B567" s="7">
        <v>2025</v>
      </c>
      <c r="C567" s="7" t="s">
        <v>117</v>
      </c>
      <c r="D567" s="7" t="s">
        <v>119</v>
      </c>
      <c r="E567" s="7" t="s">
        <v>9</v>
      </c>
      <c r="F567" s="7" t="s">
        <v>94</v>
      </c>
      <c r="G567" s="7" t="s">
        <v>95</v>
      </c>
      <c r="H567" s="8">
        <v>2144</v>
      </c>
    </row>
    <row r="568" spans="2:8">
      <c r="B568" s="7">
        <v>2025</v>
      </c>
      <c r="C568" s="7" t="s">
        <v>117</v>
      </c>
      <c r="D568" s="7" t="s">
        <v>119</v>
      </c>
      <c r="E568" s="7" t="s">
        <v>10</v>
      </c>
      <c r="F568" s="7" t="s">
        <v>92</v>
      </c>
      <c r="G568" s="7" t="s">
        <v>93</v>
      </c>
      <c r="H568" s="8">
        <v>165</v>
      </c>
    </row>
    <row r="569" spans="2:8">
      <c r="B569" s="7">
        <v>2025</v>
      </c>
      <c r="C569" s="7" t="s">
        <v>117</v>
      </c>
      <c r="D569" s="7" t="s">
        <v>119</v>
      </c>
      <c r="E569" s="7" t="s">
        <v>10</v>
      </c>
      <c r="F569" s="7" t="s">
        <v>92</v>
      </c>
      <c r="G569" s="7" t="s">
        <v>95</v>
      </c>
      <c r="H569" s="8">
        <v>112</v>
      </c>
    </row>
    <row r="570" spans="2:8">
      <c r="B570" s="7">
        <v>2025</v>
      </c>
      <c r="C570" s="7" t="s">
        <v>117</v>
      </c>
      <c r="D570" s="7" t="s">
        <v>119</v>
      </c>
      <c r="E570" s="7" t="s">
        <v>10</v>
      </c>
      <c r="F570" s="7" t="s">
        <v>94</v>
      </c>
      <c r="G570" s="7" t="s">
        <v>93</v>
      </c>
      <c r="H570" s="8">
        <v>1907</v>
      </c>
    </row>
    <row r="571" spans="2:8">
      <c r="B571" s="7">
        <v>2025</v>
      </c>
      <c r="C571" s="7" t="s">
        <v>117</v>
      </c>
      <c r="D571" s="7" t="s">
        <v>119</v>
      </c>
      <c r="E571" s="7" t="s">
        <v>10</v>
      </c>
      <c r="F571" s="7" t="s">
        <v>94</v>
      </c>
      <c r="G571" s="7" t="s">
        <v>95</v>
      </c>
      <c r="H571" s="8">
        <v>795</v>
      </c>
    </row>
    <row r="572" spans="2:8">
      <c r="B572" s="7">
        <v>2025</v>
      </c>
      <c r="C572" s="7" t="s">
        <v>117</v>
      </c>
      <c r="D572" s="7" t="s">
        <v>120</v>
      </c>
      <c r="E572" s="7" t="s">
        <v>9</v>
      </c>
      <c r="F572" s="7" t="s">
        <v>92</v>
      </c>
      <c r="G572" s="7" t="s">
        <v>93</v>
      </c>
      <c r="H572" s="8">
        <v>4227</v>
      </c>
    </row>
    <row r="573" spans="2:8">
      <c r="B573" s="7">
        <v>2025</v>
      </c>
      <c r="C573" s="7" t="s">
        <v>117</v>
      </c>
      <c r="D573" s="7" t="s">
        <v>120</v>
      </c>
      <c r="E573" s="7" t="s">
        <v>9</v>
      </c>
      <c r="F573" s="7" t="s">
        <v>92</v>
      </c>
      <c r="G573" s="7" t="s">
        <v>95</v>
      </c>
      <c r="H573" s="8">
        <v>2286</v>
      </c>
    </row>
    <row r="574" spans="2:8">
      <c r="B574" s="7">
        <v>2025</v>
      </c>
      <c r="C574" s="7" t="s">
        <v>117</v>
      </c>
      <c r="D574" s="7" t="s">
        <v>120</v>
      </c>
      <c r="E574" s="7" t="s">
        <v>9</v>
      </c>
      <c r="F574" s="7" t="s">
        <v>94</v>
      </c>
      <c r="G574" s="7" t="s">
        <v>93</v>
      </c>
      <c r="H574" s="8">
        <v>4844</v>
      </c>
    </row>
    <row r="575" spans="2:8">
      <c r="B575" s="7">
        <v>2025</v>
      </c>
      <c r="C575" s="7" t="s">
        <v>117</v>
      </c>
      <c r="D575" s="7" t="s">
        <v>120</v>
      </c>
      <c r="E575" s="7" t="s">
        <v>9</v>
      </c>
      <c r="F575" s="7" t="s">
        <v>94</v>
      </c>
      <c r="G575" s="7" t="s">
        <v>95</v>
      </c>
      <c r="H575" s="8">
        <v>2028</v>
      </c>
    </row>
    <row r="576" spans="2:8">
      <c r="B576" s="7">
        <v>2025</v>
      </c>
      <c r="C576" s="7" t="s">
        <v>117</v>
      </c>
      <c r="D576" s="7" t="s">
        <v>120</v>
      </c>
      <c r="E576" s="7" t="s">
        <v>10</v>
      </c>
      <c r="F576" s="7" t="s">
        <v>92</v>
      </c>
      <c r="G576" s="7" t="s">
        <v>93</v>
      </c>
      <c r="H576" s="8">
        <v>120</v>
      </c>
    </row>
    <row r="577" spans="2:8">
      <c r="B577" s="7">
        <v>2025</v>
      </c>
      <c r="C577" s="7" t="s">
        <v>117</v>
      </c>
      <c r="D577" s="7" t="s">
        <v>120</v>
      </c>
      <c r="E577" s="7" t="s">
        <v>10</v>
      </c>
      <c r="F577" s="7" t="s">
        <v>92</v>
      </c>
      <c r="G577" s="7" t="s">
        <v>95</v>
      </c>
      <c r="H577" s="8">
        <v>56</v>
      </c>
    </row>
    <row r="578" spans="2:8">
      <c r="B578" s="7">
        <v>2025</v>
      </c>
      <c r="C578" s="7" t="s">
        <v>117</v>
      </c>
      <c r="D578" s="7" t="s">
        <v>120</v>
      </c>
      <c r="E578" s="7" t="s">
        <v>10</v>
      </c>
      <c r="F578" s="7" t="s">
        <v>94</v>
      </c>
      <c r="G578" s="7" t="s">
        <v>93</v>
      </c>
      <c r="H578" s="8">
        <v>1016</v>
      </c>
    </row>
    <row r="579" spans="2:8">
      <c r="B579" s="7">
        <v>2025</v>
      </c>
      <c r="C579" s="7" t="s">
        <v>117</v>
      </c>
      <c r="D579" s="7" t="s">
        <v>120</v>
      </c>
      <c r="E579" s="7" t="s">
        <v>10</v>
      </c>
      <c r="F579" s="7" t="s">
        <v>94</v>
      </c>
      <c r="G579" s="7" t="s">
        <v>95</v>
      </c>
      <c r="H579" s="8">
        <v>426</v>
      </c>
    </row>
    <row r="580" spans="2:8">
      <c r="B580" s="7">
        <v>2025</v>
      </c>
      <c r="C580" s="7" t="s">
        <v>117</v>
      </c>
      <c r="D580" s="7" t="s">
        <v>121</v>
      </c>
      <c r="E580" s="7" t="s">
        <v>9</v>
      </c>
      <c r="F580" s="7" t="s">
        <v>92</v>
      </c>
      <c r="G580" s="7" t="s">
        <v>93</v>
      </c>
      <c r="H580" s="8">
        <v>5900</v>
      </c>
    </row>
    <row r="581" spans="2:8">
      <c r="B581" s="7">
        <v>2025</v>
      </c>
      <c r="C581" s="7" t="s">
        <v>117</v>
      </c>
      <c r="D581" s="7" t="s">
        <v>121</v>
      </c>
      <c r="E581" s="7" t="s">
        <v>9</v>
      </c>
      <c r="F581" s="7" t="s">
        <v>92</v>
      </c>
      <c r="G581" s="7" t="s">
        <v>95</v>
      </c>
      <c r="H581" s="8">
        <v>3165</v>
      </c>
    </row>
    <row r="582" spans="2:8">
      <c r="B582" s="7">
        <v>2025</v>
      </c>
      <c r="C582" s="7" t="s">
        <v>117</v>
      </c>
      <c r="D582" s="7" t="s">
        <v>121</v>
      </c>
      <c r="E582" s="7" t="s">
        <v>9</v>
      </c>
      <c r="F582" s="7" t="s">
        <v>94</v>
      </c>
      <c r="G582" s="7" t="s">
        <v>93</v>
      </c>
      <c r="H582" s="8">
        <v>13377</v>
      </c>
    </row>
    <row r="583" spans="2:8">
      <c r="B583" s="7">
        <v>2025</v>
      </c>
      <c r="C583" s="7" t="s">
        <v>117</v>
      </c>
      <c r="D583" s="7" t="s">
        <v>121</v>
      </c>
      <c r="E583" s="7" t="s">
        <v>9</v>
      </c>
      <c r="F583" s="7" t="s">
        <v>94</v>
      </c>
      <c r="G583" s="7" t="s">
        <v>95</v>
      </c>
      <c r="H583" s="8">
        <v>6464</v>
      </c>
    </row>
    <row r="584" spans="2:8">
      <c r="B584" s="7">
        <v>2025</v>
      </c>
      <c r="C584" s="7" t="s">
        <v>117</v>
      </c>
      <c r="D584" s="7" t="s">
        <v>121</v>
      </c>
      <c r="E584" s="7" t="s">
        <v>10</v>
      </c>
      <c r="F584" s="7" t="s">
        <v>92</v>
      </c>
      <c r="G584" s="7" t="s">
        <v>93</v>
      </c>
      <c r="H584" s="8">
        <v>267</v>
      </c>
    </row>
    <row r="585" spans="2:8">
      <c r="B585" s="7">
        <v>2025</v>
      </c>
      <c r="C585" s="7" t="s">
        <v>117</v>
      </c>
      <c r="D585" s="7" t="s">
        <v>121</v>
      </c>
      <c r="E585" s="7" t="s">
        <v>10</v>
      </c>
      <c r="F585" s="7" t="s">
        <v>92</v>
      </c>
      <c r="G585" s="7" t="s">
        <v>95</v>
      </c>
      <c r="H585" s="8">
        <v>182</v>
      </c>
    </row>
    <row r="586" spans="2:8">
      <c r="B586" s="7">
        <v>2025</v>
      </c>
      <c r="C586" s="7" t="s">
        <v>117</v>
      </c>
      <c r="D586" s="7" t="s">
        <v>121</v>
      </c>
      <c r="E586" s="7" t="s">
        <v>10</v>
      </c>
      <c r="F586" s="7" t="s">
        <v>94</v>
      </c>
      <c r="G586" s="7" t="s">
        <v>93</v>
      </c>
      <c r="H586" s="8">
        <v>2282</v>
      </c>
    </row>
    <row r="587" spans="2:8">
      <c r="B587" s="7">
        <v>2025</v>
      </c>
      <c r="C587" s="7" t="s">
        <v>117</v>
      </c>
      <c r="D587" s="7" t="s">
        <v>121</v>
      </c>
      <c r="E587" s="7" t="s">
        <v>10</v>
      </c>
      <c r="F587" s="7" t="s">
        <v>94</v>
      </c>
      <c r="G587" s="7" t="s">
        <v>95</v>
      </c>
      <c r="H587" s="8">
        <v>1065</v>
      </c>
    </row>
    <row r="588" spans="2:8">
      <c r="B588" s="7">
        <v>2025</v>
      </c>
      <c r="C588" s="7" t="s">
        <v>122</v>
      </c>
      <c r="D588" s="7" t="s">
        <v>123</v>
      </c>
      <c r="E588" s="7" t="s">
        <v>9</v>
      </c>
      <c r="F588" s="7" t="s">
        <v>92</v>
      </c>
      <c r="G588" s="7" t="s">
        <v>93</v>
      </c>
      <c r="H588" s="8">
        <v>1873</v>
      </c>
    </row>
    <row r="589" spans="2:8">
      <c r="B589" s="7">
        <v>2025</v>
      </c>
      <c r="C589" s="7" t="s">
        <v>122</v>
      </c>
      <c r="D589" s="7" t="s">
        <v>123</v>
      </c>
      <c r="E589" s="7" t="s">
        <v>9</v>
      </c>
      <c r="F589" s="7" t="s">
        <v>92</v>
      </c>
      <c r="G589" s="7" t="s">
        <v>95</v>
      </c>
      <c r="H589" s="8">
        <v>1126</v>
      </c>
    </row>
    <row r="590" spans="2:8">
      <c r="B590" s="7">
        <v>2025</v>
      </c>
      <c r="C590" s="7" t="s">
        <v>122</v>
      </c>
      <c r="D590" s="7" t="s">
        <v>123</v>
      </c>
      <c r="E590" s="7" t="s">
        <v>9</v>
      </c>
      <c r="F590" s="7" t="s">
        <v>94</v>
      </c>
      <c r="G590" s="7" t="s">
        <v>93</v>
      </c>
      <c r="H590" s="8">
        <v>2753</v>
      </c>
    </row>
    <row r="591" spans="2:8">
      <c r="B591" s="7">
        <v>2025</v>
      </c>
      <c r="C591" s="7" t="s">
        <v>122</v>
      </c>
      <c r="D591" s="7" t="s">
        <v>123</v>
      </c>
      <c r="E591" s="7" t="s">
        <v>9</v>
      </c>
      <c r="F591" s="7" t="s">
        <v>94</v>
      </c>
      <c r="G591" s="7" t="s">
        <v>95</v>
      </c>
      <c r="H591" s="8">
        <v>1465</v>
      </c>
    </row>
    <row r="592" spans="2:8">
      <c r="B592" s="7">
        <v>2025</v>
      </c>
      <c r="C592" s="7" t="s">
        <v>122</v>
      </c>
      <c r="D592" s="7" t="s">
        <v>123</v>
      </c>
      <c r="E592" s="7" t="s">
        <v>10</v>
      </c>
      <c r="F592" s="7" t="s">
        <v>92</v>
      </c>
      <c r="G592" s="7" t="s">
        <v>93</v>
      </c>
      <c r="H592" s="8">
        <v>137</v>
      </c>
    </row>
    <row r="593" spans="2:8">
      <c r="B593" s="7">
        <v>2025</v>
      </c>
      <c r="C593" s="7" t="s">
        <v>122</v>
      </c>
      <c r="D593" s="7" t="s">
        <v>123</v>
      </c>
      <c r="E593" s="7" t="s">
        <v>10</v>
      </c>
      <c r="F593" s="7" t="s">
        <v>92</v>
      </c>
      <c r="G593" s="7" t="s">
        <v>95</v>
      </c>
      <c r="H593" s="8">
        <v>102</v>
      </c>
    </row>
    <row r="594" spans="2:8">
      <c r="B594" s="7">
        <v>2025</v>
      </c>
      <c r="C594" s="7" t="s">
        <v>122</v>
      </c>
      <c r="D594" s="7" t="s">
        <v>123</v>
      </c>
      <c r="E594" s="7" t="s">
        <v>10</v>
      </c>
      <c r="F594" s="7" t="s">
        <v>94</v>
      </c>
      <c r="G594" s="7" t="s">
        <v>93</v>
      </c>
      <c r="H594" s="8">
        <v>1185</v>
      </c>
    </row>
    <row r="595" spans="2:8">
      <c r="B595" s="7">
        <v>2025</v>
      </c>
      <c r="C595" s="7" t="s">
        <v>122</v>
      </c>
      <c r="D595" s="7" t="s">
        <v>123</v>
      </c>
      <c r="E595" s="7" t="s">
        <v>10</v>
      </c>
      <c r="F595" s="7" t="s">
        <v>94</v>
      </c>
      <c r="G595" s="7" t="s">
        <v>95</v>
      </c>
      <c r="H595" s="8">
        <v>651</v>
      </c>
    </row>
    <row r="596" spans="2:8">
      <c r="B596" s="7">
        <v>2025</v>
      </c>
      <c r="C596" s="7" t="s">
        <v>122</v>
      </c>
      <c r="D596" s="7" t="s">
        <v>124</v>
      </c>
      <c r="E596" s="7" t="s">
        <v>9</v>
      </c>
      <c r="F596" s="7" t="s">
        <v>92</v>
      </c>
      <c r="G596" s="7" t="s">
        <v>93</v>
      </c>
      <c r="H596" s="8">
        <v>2579</v>
      </c>
    </row>
    <row r="597" spans="2:8">
      <c r="B597" s="7">
        <v>2025</v>
      </c>
      <c r="C597" s="7" t="s">
        <v>122</v>
      </c>
      <c r="D597" s="7" t="s">
        <v>124</v>
      </c>
      <c r="E597" s="7" t="s">
        <v>9</v>
      </c>
      <c r="F597" s="7" t="s">
        <v>92</v>
      </c>
      <c r="G597" s="7" t="s">
        <v>95</v>
      </c>
      <c r="H597" s="8">
        <v>1461</v>
      </c>
    </row>
    <row r="598" spans="2:8">
      <c r="B598" s="7">
        <v>2025</v>
      </c>
      <c r="C598" s="7" t="s">
        <v>122</v>
      </c>
      <c r="D598" s="7" t="s">
        <v>124</v>
      </c>
      <c r="E598" s="7" t="s">
        <v>9</v>
      </c>
      <c r="F598" s="7" t="s">
        <v>94</v>
      </c>
      <c r="G598" s="7" t="s">
        <v>93</v>
      </c>
      <c r="H598" s="8">
        <v>2525</v>
      </c>
    </row>
    <row r="599" spans="2:8">
      <c r="B599" s="7">
        <v>2025</v>
      </c>
      <c r="C599" s="7" t="s">
        <v>122</v>
      </c>
      <c r="D599" s="7" t="s">
        <v>124</v>
      </c>
      <c r="E599" s="7" t="s">
        <v>9</v>
      </c>
      <c r="F599" s="7" t="s">
        <v>94</v>
      </c>
      <c r="G599" s="7" t="s">
        <v>95</v>
      </c>
      <c r="H599" s="8">
        <v>1253</v>
      </c>
    </row>
    <row r="600" spans="2:8">
      <c r="B600" s="7">
        <v>2025</v>
      </c>
      <c r="C600" s="7" t="s">
        <v>122</v>
      </c>
      <c r="D600" s="7" t="s">
        <v>124</v>
      </c>
      <c r="E600" s="7" t="s">
        <v>10</v>
      </c>
      <c r="F600" s="7" t="s">
        <v>92</v>
      </c>
      <c r="G600" s="7" t="s">
        <v>93</v>
      </c>
      <c r="H600" s="8">
        <v>92</v>
      </c>
    </row>
    <row r="601" spans="2:8">
      <c r="B601" s="7">
        <v>2025</v>
      </c>
      <c r="C601" s="7" t="s">
        <v>122</v>
      </c>
      <c r="D601" s="7" t="s">
        <v>124</v>
      </c>
      <c r="E601" s="7" t="s">
        <v>10</v>
      </c>
      <c r="F601" s="7" t="s">
        <v>92</v>
      </c>
      <c r="G601" s="7" t="s">
        <v>95</v>
      </c>
      <c r="H601" s="8">
        <v>92</v>
      </c>
    </row>
    <row r="602" spans="2:8">
      <c r="B602" s="7">
        <v>2025</v>
      </c>
      <c r="C602" s="7" t="s">
        <v>122</v>
      </c>
      <c r="D602" s="7" t="s">
        <v>124</v>
      </c>
      <c r="E602" s="7" t="s">
        <v>10</v>
      </c>
      <c r="F602" s="7" t="s">
        <v>94</v>
      </c>
      <c r="G602" s="7" t="s">
        <v>93</v>
      </c>
      <c r="H602" s="8">
        <v>389</v>
      </c>
    </row>
    <row r="603" spans="2:8">
      <c r="B603" s="7">
        <v>2025</v>
      </c>
      <c r="C603" s="7" t="s">
        <v>122</v>
      </c>
      <c r="D603" s="7" t="s">
        <v>124</v>
      </c>
      <c r="E603" s="7" t="s">
        <v>10</v>
      </c>
      <c r="F603" s="7" t="s">
        <v>94</v>
      </c>
      <c r="G603" s="7" t="s">
        <v>95</v>
      </c>
      <c r="H603" s="8">
        <v>190</v>
      </c>
    </row>
    <row r="604" spans="2:8">
      <c r="B604" s="7">
        <v>2025</v>
      </c>
      <c r="C604" s="7" t="s">
        <v>122</v>
      </c>
      <c r="D604" s="7" t="s">
        <v>125</v>
      </c>
      <c r="E604" s="7" t="s">
        <v>9</v>
      </c>
      <c r="F604" s="7" t="s">
        <v>92</v>
      </c>
      <c r="G604" s="7" t="s">
        <v>93</v>
      </c>
      <c r="H604" s="8">
        <v>803</v>
      </c>
    </row>
    <row r="605" spans="2:8">
      <c r="B605" s="7">
        <v>2025</v>
      </c>
      <c r="C605" s="7" t="s">
        <v>122</v>
      </c>
      <c r="D605" s="7" t="s">
        <v>125</v>
      </c>
      <c r="E605" s="7" t="s">
        <v>9</v>
      </c>
      <c r="F605" s="7" t="s">
        <v>92</v>
      </c>
      <c r="G605" s="7" t="s">
        <v>95</v>
      </c>
      <c r="H605" s="8">
        <v>359</v>
      </c>
    </row>
    <row r="606" spans="2:8">
      <c r="B606" s="7">
        <v>2025</v>
      </c>
      <c r="C606" s="7" t="s">
        <v>122</v>
      </c>
      <c r="D606" s="7" t="s">
        <v>125</v>
      </c>
      <c r="E606" s="7" t="s">
        <v>9</v>
      </c>
      <c r="F606" s="7" t="s">
        <v>94</v>
      </c>
      <c r="G606" s="7" t="s">
        <v>93</v>
      </c>
      <c r="H606" s="8">
        <v>1979</v>
      </c>
    </row>
    <row r="607" spans="2:8">
      <c r="B607" s="7">
        <v>2025</v>
      </c>
      <c r="C607" s="7" t="s">
        <v>122</v>
      </c>
      <c r="D607" s="7" t="s">
        <v>125</v>
      </c>
      <c r="E607" s="7" t="s">
        <v>9</v>
      </c>
      <c r="F607" s="7" t="s">
        <v>94</v>
      </c>
      <c r="G607" s="7" t="s">
        <v>95</v>
      </c>
      <c r="H607" s="8">
        <v>925</v>
      </c>
    </row>
    <row r="608" spans="2:8">
      <c r="B608" s="7">
        <v>2025</v>
      </c>
      <c r="C608" s="7" t="s">
        <v>122</v>
      </c>
      <c r="D608" s="7" t="s">
        <v>125</v>
      </c>
      <c r="E608" s="7" t="s">
        <v>10</v>
      </c>
      <c r="F608" s="7" t="s">
        <v>92</v>
      </c>
      <c r="G608" s="7" t="s">
        <v>93</v>
      </c>
      <c r="H608" s="8">
        <v>44</v>
      </c>
    </row>
    <row r="609" spans="2:8">
      <c r="B609" s="7">
        <v>2025</v>
      </c>
      <c r="C609" s="7" t="s">
        <v>122</v>
      </c>
      <c r="D609" s="7" t="s">
        <v>125</v>
      </c>
      <c r="E609" s="7" t="s">
        <v>10</v>
      </c>
      <c r="F609" s="7" t="s">
        <v>92</v>
      </c>
      <c r="G609" s="7" t="s">
        <v>95</v>
      </c>
      <c r="H609" s="8">
        <v>31</v>
      </c>
    </row>
    <row r="610" spans="2:8">
      <c r="B610" s="7">
        <v>2025</v>
      </c>
      <c r="C610" s="7" t="s">
        <v>122</v>
      </c>
      <c r="D610" s="7" t="s">
        <v>125</v>
      </c>
      <c r="E610" s="7" t="s">
        <v>10</v>
      </c>
      <c r="F610" s="7" t="s">
        <v>94</v>
      </c>
      <c r="G610" s="7" t="s">
        <v>93</v>
      </c>
      <c r="H610" s="8">
        <v>190</v>
      </c>
    </row>
    <row r="611" spans="2:8">
      <c r="B611" s="7">
        <v>2025</v>
      </c>
      <c r="C611" s="7" t="s">
        <v>122</v>
      </c>
      <c r="D611" s="7" t="s">
        <v>125</v>
      </c>
      <c r="E611" s="7" t="s">
        <v>10</v>
      </c>
      <c r="F611" s="7" t="s">
        <v>94</v>
      </c>
      <c r="G611" s="7" t="s">
        <v>95</v>
      </c>
      <c r="H611" s="8">
        <v>78</v>
      </c>
    </row>
  </sheetData>
  <mergeCells count="3">
    <mergeCell ref="B1:I2"/>
    <mergeCell ref="B3:I3"/>
    <mergeCell ref="B5:I5"/>
  </mergeCells>
  <hyperlinks>
    <hyperlink ref="A4" location="'Dashboard'!B11" display="← DASHBOARD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4" customWidth="1"/>
    <col min="2" max="2" width="22" customWidth="1"/>
    <col min="3" max="3" width="18" customWidth="1"/>
    <col min="4" max="5" width="17" customWidth="1"/>
    <col min="6" max="8" width="20" customWidth="1"/>
    <col min="9" max="11" width="14" customWidth="1"/>
    <col min="12" max="12" width="12" customWidth="1"/>
  </cols>
  <sheetData>
    <row r="1" spans="1:12">
      <c r="A1" s="1"/>
      <c r="B1" s="46" t="s">
        <v>135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s="1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>
      <c r="B3" s="47" t="s">
        <v>56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>
      <c r="A4" s="2" t="s">
        <v>57</v>
      </c>
      <c r="B4" s="2"/>
      <c r="C4" s="2"/>
    </row>
    <row r="5" spans="1:12">
      <c r="B5" s="52" t="s">
        <v>136</v>
      </c>
      <c r="C5" s="52"/>
      <c r="D5" s="52"/>
      <c r="E5" s="52"/>
      <c r="F5" s="52"/>
      <c r="G5" s="52"/>
      <c r="H5" s="52"/>
      <c r="I5" s="52"/>
      <c r="J5" s="52"/>
      <c r="K5" s="52"/>
      <c r="L5" s="52"/>
    </row>
    <row r="7" spans="1:12" ht="15">
      <c r="B7" s="10" t="s">
        <v>137</v>
      </c>
      <c r="C7" s="10" t="s">
        <v>138</v>
      </c>
      <c r="D7" s="10" t="s">
        <v>86</v>
      </c>
      <c r="E7" s="10" t="s">
        <v>139</v>
      </c>
    </row>
    <row r="8" spans="1:12" ht="15">
      <c r="B8" s="11">
        <f>Dashboard!B35</f>
        <v>0</v>
      </c>
      <c r="C8" s="11" t="str">
        <f>Dashboard!B39</f>
        <v>Integral</v>
      </c>
      <c r="D8" s="11" t="str">
        <f>Dashboard!B43</f>
        <v>Todas</v>
      </c>
      <c r="E8" s="11">
        <f>Dashboard!B47</f>
        <v>2005</v>
      </c>
    </row>
    <row r="10" spans="1:12" ht="15">
      <c r="B10" s="48" t="s">
        <v>140</v>
      </c>
      <c r="C10" s="48"/>
      <c r="D10" s="48"/>
      <c r="E10" s="48"/>
      <c r="F10" s="48"/>
      <c r="G10" s="48"/>
      <c r="H10" s="48"/>
    </row>
    <row r="11" spans="1:12" ht="15">
      <c r="B11" s="10" t="s">
        <v>8</v>
      </c>
      <c r="C11" s="10" t="s">
        <v>141</v>
      </c>
      <c r="D11" s="10" t="s">
        <v>9</v>
      </c>
      <c r="E11" s="10" t="s">
        <v>10</v>
      </c>
      <c r="F11" s="10" t="s">
        <v>142</v>
      </c>
      <c r="G11" s="10" t="s">
        <v>143</v>
      </c>
    </row>
    <row r="12" spans="1:12">
      <c r="B12" s="7">
        <v>2005</v>
      </c>
      <c r="C12" s="8">
        <f>SUM(D12:E12)</f>
        <v>0</v>
      </c>
      <c r="D12" s="8">
        <f>IF(OR(Dashboard!$B$39="Todas",Dashboard!$B$39="Integral"),SUMIFS(Dados_Tratados!$H$8:$H$611,Dados_Tratados!$B$8:$B$611,$B12,Dados_Tratados!$C$8:$C$611,IF(Dashboard!$B$35="Brasil","*",Dashboard!$B$35),Dados_Tratados!$E$8:$E$611,"Integral",Dados_Tratados!$F$8:$F$611,IF(Dashboard!$B$43="Todas","*",Dashboard!$B$43)),0)</f>
        <v>0</v>
      </c>
      <c r="E12" s="8">
        <f>IF(OR(Dashboard!$B$39="Todas",Dashboard!$B$39="Parcial"),SUMIFS(Dados_Tratados!$H$8:$H$611,Dados_Tratados!$B$8:$B$611,$B12,Dados_Tratados!$C$8:$C$611,IF(Dashboard!$B$35="Brasil","*",Dashboard!$B$35),Dados_Tratados!$E$8:$E$611,"Parcial",Dados_Tratados!$F$8:$F$611,IF(Dashboard!$B$43="Todas","*",Dashboard!$B$43)),0)</f>
        <v>0</v>
      </c>
      <c r="F12" s="25">
        <f>IFERROR(D12/C12,0)</f>
        <v>0</v>
      </c>
      <c r="G12" s="25" t="str">
        <f>"—"</f>
        <v>—</v>
      </c>
      <c r="H12" s="7"/>
    </row>
    <row r="13" spans="1:12">
      <c r="B13" s="7">
        <v>2015</v>
      </c>
      <c r="C13" s="8">
        <f>SUM(D13:E13)</f>
        <v>0</v>
      </c>
      <c r="D13" s="8">
        <f>IF(OR(Dashboard!$B$39="Todas",Dashboard!$B$39="Integral"),SUMIFS(Dados_Tratados!$H$8:$H$611,Dados_Tratados!$B$8:$B$611,$B13,Dados_Tratados!$C$8:$C$611,IF(Dashboard!$B$35="Brasil","*",Dashboard!$B$35),Dados_Tratados!$E$8:$E$611,"Integral",Dados_Tratados!$F$8:$F$611,IF(Dashboard!$B$43="Todas","*",Dashboard!$B$43)),0)</f>
        <v>0</v>
      </c>
      <c r="E13" s="8">
        <f>IF(OR(Dashboard!$B$39="Todas",Dashboard!$B$39="Parcial"),SUMIFS(Dados_Tratados!$H$8:$H$611,Dados_Tratados!$B$8:$B$611,$B13,Dados_Tratados!$C$8:$C$611,IF(Dashboard!$B$35="Brasil","*",Dashboard!$B$35),Dados_Tratados!$E$8:$E$611,"Parcial",Dados_Tratados!$F$8:$F$611,IF(Dashboard!$B$43="Todas","*",Dashboard!$B$43)),0)</f>
        <v>0</v>
      </c>
      <c r="F13" s="25">
        <f>IFERROR(D13/C13,0)</f>
        <v>0</v>
      </c>
      <c r="G13" s="25">
        <f>IFERROR(C13/C12-1,0)</f>
        <v>0</v>
      </c>
      <c r="H13" s="7"/>
    </row>
    <row r="14" spans="1:12">
      <c r="B14" s="7">
        <v>2025</v>
      </c>
      <c r="C14" s="8">
        <f>SUM(D14:E14)</f>
        <v>0</v>
      </c>
      <c r="D14" s="8">
        <f>IF(OR(Dashboard!$B$39="Todas",Dashboard!$B$39="Integral"),SUMIFS(Dados_Tratados!$H$8:$H$611,Dados_Tratados!$B$8:$B$611,$B14,Dados_Tratados!$C$8:$C$611,IF(Dashboard!$B$35="Brasil","*",Dashboard!$B$35),Dados_Tratados!$E$8:$E$611,"Integral",Dados_Tratados!$F$8:$F$611,IF(Dashboard!$B$43="Todas","*",Dashboard!$B$43)),0)</f>
        <v>0</v>
      </c>
      <c r="E14" s="8">
        <f>IF(OR(Dashboard!$B$39="Todas",Dashboard!$B$39="Parcial"),SUMIFS(Dados_Tratados!$H$8:$H$611,Dados_Tratados!$B$8:$B$611,$B14,Dados_Tratados!$C$8:$C$611,IF(Dashboard!$B$35="Brasil","*",Dashboard!$B$35),Dados_Tratados!$E$8:$E$611,"Parcial",Dados_Tratados!$F$8:$F$611,IF(Dashboard!$B$43="Todas","*",Dashboard!$B$43)),0)</f>
        <v>0</v>
      </c>
      <c r="F14" s="25">
        <f>IFERROR(D14/C14,0)</f>
        <v>0</v>
      </c>
      <c r="G14" s="25">
        <f>IFERROR(C14/C13-1,0)</f>
        <v>0</v>
      </c>
      <c r="H14" s="7"/>
    </row>
    <row r="17" spans="2:8" ht="15">
      <c r="B17" s="48" t="s">
        <v>144</v>
      </c>
      <c r="C17" s="48"/>
      <c r="D17" s="48"/>
      <c r="E17" s="48"/>
      <c r="F17" s="48"/>
      <c r="G17" s="48"/>
      <c r="H17" s="48"/>
    </row>
    <row r="18" spans="2:8" ht="15">
      <c r="B18" s="10" t="s">
        <v>83</v>
      </c>
      <c r="C18" s="10" t="s">
        <v>50</v>
      </c>
      <c r="D18" s="10" t="s">
        <v>145</v>
      </c>
      <c r="E18" s="10" t="s">
        <v>51</v>
      </c>
      <c r="F18" s="10" t="s">
        <v>146</v>
      </c>
      <c r="G18" s="10" t="s">
        <v>147</v>
      </c>
      <c r="H18" s="10" t="s">
        <v>148</v>
      </c>
    </row>
    <row r="19" spans="2:8">
      <c r="B19" s="7" t="s">
        <v>90</v>
      </c>
      <c r="C19" s="8">
        <f>SUMIFS(Dados_Tratados!$H$8:$H$611,Dados_Tratados!$B$8:$B$611,2005,Dados_Tratados!$C$8:$C$611,$B19,Dados_Tratados!$E$8:$E$611,IF(Dashboard!$B$39="Todas","*",Dashboard!$B$39),Dados_Tratados!$F$8:$F$611,IF(Dashboard!$B$43="Todas","*",Dashboard!$B$43))</f>
        <v>2847</v>
      </c>
      <c r="D19" s="8">
        <f>SUMIFS(Dados_Tratados!$H$8:$H$611,Dados_Tratados!$B$8:$B$611,2015,Dados_Tratados!$C$8:$C$611,$B19,Dados_Tratados!$E$8:$E$611,IF(Dashboard!$B$39="Todas","*",Dashboard!$B$39),Dados_Tratados!$F$8:$F$611,IF(Dashboard!$B$43="Todas","*",Dashboard!$B$43))</f>
        <v>14891</v>
      </c>
      <c r="E19" s="8">
        <f>SUMIFS(Dados_Tratados!$H$8:$H$611,Dados_Tratados!$B$8:$B$611,2025,Dados_Tratados!$C$8:$C$611,$B19,Dados_Tratados!$E$8:$E$611,IF(Dashboard!$B$39="Todas","*",Dashboard!$B$39),Dados_Tratados!$F$8:$F$611,IF(Dashboard!$B$43="Todas","*",Dashboard!$B$43))</f>
        <v>15137</v>
      </c>
      <c r="F19" s="8">
        <f>E19-C19</f>
        <v>12290</v>
      </c>
      <c r="G19" s="25">
        <f>IFERROR(E19/C19-1,0)</f>
        <v>4.316824727783632</v>
      </c>
      <c r="H19" s="25">
        <f>IFERROR(E19/D19-1,0)</f>
        <v>1.6520045665166849E-2</v>
      </c>
    </row>
    <row r="20" spans="2:8">
      <c r="B20" s="7" t="s">
        <v>102</v>
      </c>
      <c r="C20" s="8">
        <f>SUMIFS(Dados_Tratados!$H$8:$H$611,Dados_Tratados!$B$8:$B$611,2005,Dados_Tratados!$C$8:$C$611,$B20,Dados_Tratados!$E$8:$E$611,IF(Dashboard!$B$39="Todas","*",Dashboard!$B$39),Dados_Tratados!$F$8:$F$611,IF(Dashboard!$B$43="Todas","*",Dashboard!$B$43))</f>
        <v>10548</v>
      </c>
      <c r="D20" s="8">
        <f>SUMIFS(Dados_Tratados!$H$8:$H$611,Dados_Tratados!$B$8:$B$611,2015,Dados_Tratados!$C$8:$C$611,$B20,Dados_Tratados!$E$8:$E$611,IF(Dashboard!$B$39="Todas","*",Dashboard!$B$39),Dados_Tratados!$F$8:$F$611,IF(Dashboard!$B$43="Todas","*",Dashboard!$B$43))</f>
        <v>32924</v>
      </c>
      <c r="E20" s="8">
        <f>SUMIFS(Dados_Tratados!$H$8:$H$611,Dados_Tratados!$B$8:$B$611,2025,Dados_Tratados!$C$8:$C$611,$B20,Dados_Tratados!$E$8:$E$611,IF(Dashboard!$B$39="Todas","*",Dashboard!$B$39),Dados_Tratados!$F$8:$F$611,IF(Dashboard!$B$43="Todas","*",Dashboard!$B$43))</f>
        <v>46055</v>
      </c>
      <c r="F20" s="8">
        <f>E20-C20</f>
        <v>35507</v>
      </c>
      <c r="G20" s="25">
        <f>IFERROR(E20/C20-1,0)</f>
        <v>3.3662305650360258</v>
      </c>
      <c r="H20" s="25">
        <f>IFERROR(E20/D20-1,0)</f>
        <v>0.39882760296440289</v>
      </c>
    </row>
    <row r="21" spans="2:8">
      <c r="B21" s="7" t="s">
        <v>112</v>
      </c>
      <c r="C21" s="8">
        <f>SUMIFS(Dados_Tratados!$H$8:$H$611,Dados_Tratados!$B$8:$B$611,2005,Dados_Tratados!$C$8:$C$611,$B21,Dados_Tratados!$E$8:$E$611,IF(Dashboard!$B$39="Todas","*",Dashboard!$B$39),Dados_Tratados!$F$8:$F$611,IF(Dashboard!$B$43="Todas","*",Dashboard!$B$43))</f>
        <v>5029</v>
      </c>
      <c r="D21" s="8">
        <f>SUMIFS(Dados_Tratados!$H$8:$H$611,Dados_Tratados!$B$8:$B$611,2015,Dados_Tratados!$C$8:$C$611,$B21,Dados_Tratados!$E$8:$E$611,IF(Dashboard!$B$39="Todas","*",Dashboard!$B$39),Dados_Tratados!$F$8:$F$611,IF(Dashboard!$B$43="Todas","*",Dashboard!$B$43))</f>
        <v>14558</v>
      </c>
      <c r="E21" s="8">
        <f>SUMIFS(Dados_Tratados!$H$8:$H$611,Dados_Tratados!$B$8:$B$611,2025,Dados_Tratados!$C$8:$C$611,$B21,Dados_Tratados!$E$8:$E$611,IF(Dashboard!$B$39="Todas","*",Dashboard!$B$39),Dados_Tratados!$F$8:$F$611,IF(Dashboard!$B$43="Todas","*",Dashboard!$B$43))</f>
        <v>9415</v>
      </c>
      <c r="F21" s="8">
        <f>E21-C21</f>
        <v>4386</v>
      </c>
      <c r="G21" s="25">
        <f>IFERROR(E21/C21-1,0)</f>
        <v>0.87214157884271226</v>
      </c>
      <c r="H21" s="25">
        <f>IFERROR(E21/D21-1,0)</f>
        <v>-0.35327654897650773</v>
      </c>
    </row>
    <row r="22" spans="2:8">
      <c r="B22" s="7" t="s">
        <v>117</v>
      </c>
      <c r="C22" s="8">
        <f>SUMIFS(Dados_Tratados!$H$8:$H$611,Dados_Tratados!$B$8:$B$611,2005,Dados_Tratados!$C$8:$C$611,$B22,Dados_Tratados!$E$8:$E$611,IF(Dashboard!$B$39="Todas","*",Dashboard!$B$39),Dados_Tratados!$F$8:$F$611,IF(Dashboard!$B$43="Todas","*",Dashboard!$B$43))</f>
        <v>36498</v>
      </c>
      <c r="D22" s="8">
        <f>SUMIFS(Dados_Tratados!$H$8:$H$611,Dados_Tratados!$B$8:$B$611,2015,Dados_Tratados!$C$8:$C$611,$B22,Dados_Tratados!$E$8:$E$611,IF(Dashboard!$B$39="Todas","*",Dashboard!$B$39),Dados_Tratados!$F$8:$F$611,IF(Dashboard!$B$43="Todas","*",Dashboard!$B$43))</f>
        <v>84852</v>
      </c>
      <c r="E22" s="8">
        <f>SUMIFS(Dados_Tratados!$H$8:$H$611,Dados_Tratados!$B$8:$B$611,2025,Dados_Tratados!$C$8:$C$611,$B22,Dados_Tratados!$E$8:$E$611,IF(Dashboard!$B$39="Todas","*",Dashboard!$B$39),Dados_Tratados!$F$8:$F$611,IF(Dashboard!$B$43="Todas","*",Dashboard!$B$43))</f>
        <v>57081</v>
      </c>
      <c r="F22" s="8">
        <f>E22-C22</f>
        <v>20583</v>
      </c>
      <c r="G22" s="25">
        <f>IFERROR(E22/C22-1,0)</f>
        <v>0.56394870951832976</v>
      </c>
      <c r="H22" s="25">
        <f>IFERROR(E22/D22-1,0)</f>
        <v>-0.32728751237448739</v>
      </c>
    </row>
    <row r="23" spans="2:8">
      <c r="B23" s="7" t="s">
        <v>122</v>
      </c>
      <c r="C23" s="8">
        <f>SUMIFS(Dados_Tratados!$H$8:$H$611,Dados_Tratados!$B$8:$B$611,2005,Dados_Tratados!$C$8:$C$611,$B23,Dados_Tratados!$E$8:$E$611,IF(Dashboard!$B$39="Todas","*",Dashboard!$B$39),Dados_Tratados!$F$8:$F$611,IF(Dashboard!$B$43="Todas","*",Dashboard!$B$43))</f>
        <v>12188</v>
      </c>
      <c r="D23" s="8">
        <f>SUMIFS(Dados_Tratados!$H$8:$H$611,Dados_Tratados!$B$8:$B$611,2015,Dados_Tratados!$C$8:$C$611,$B23,Dados_Tratados!$E$8:$E$611,IF(Dashboard!$B$39="Todas","*",Dashboard!$B$39),Dados_Tratados!$F$8:$F$611,IF(Dashboard!$B$43="Todas","*",Dashboard!$B$43))</f>
        <v>37851</v>
      </c>
      <c r="E23" s="8">
        <f>SUMIFS(Dados_Tratados!$H$8:$H$611,Dados_Tratados!$B$8:$B$611,2025,Dados_Tratados!$C$8:$C$611,$B23,Dados_Tratados!$E$8:$E$611,IF(Dashboard!$B$39="Todas","*",Dashboard!$B$39),Dados_Tratados!$F$8:$F$611,IF(Dashboard!$B$43="Todas","*",Dashboard!$B$43))</f>
        <v>19101</v>
      </c>
      <c r="F23" s="8">
        <f>E23-C23</f>
        <v>6913</v>
      </c>
      <c r="G23" s="25">
        <f>IFERROR(E23/C23-1,0)</f>
        <v>0.56719724319002296</v>
      </c>
      <c r="H23" s="25">
        <f>IFERROR(E23/D23-1,0)</f>
        <v>-0.49536339858920508</v>
      </c>
    </row>
    <row r="27" spans="2:8" ht="15">
      <c r="B27" s="48" t="s">
        <v>149</v>
      </c>
      <c r="C27" s="48"/>
      <c r="D27" s="48"/>
      <c r="E27" s="48"/>
      <c r="F27" s="48"/>
      <c r="G27" s="48"/>
    </row>
    <row r="28" spans="2:8" ht="15">
      <c r="B28" s="10" t="s">
        <v>83</v>
      </c>
      <c r="C28" s="10" t="s">
        <v>9</v>
      </c>
      <c r="D28" s="10" t="s">
        <v>10</v>
      </c>
      <c r="E28" s="10" t="s">
        <v>11</v>
      </c>
    </row>
    <row r="29" spans="2:8">
      <c r="B29" s="7" t="s">
        <v>90</v>
      </c>
      <c r="C29" s="8">
        <f>IF(OR(Dashboard!$B$39="Todas",Dashboard!$B$39="Integral"),SUMIFS(Dados_Tratados!$H$8:$H$611,Dados_Tratados!$B$8:$B$611,Dashboard!$B$47,Dados_Tratados!$C$8:$C$611,$B29,Dados_Tratados!$E$8:$E$611,"Integral",Dados_Tratados!$F$8:$F$611,IF(Dashboard!$B$43="Todas","*",Dashboard!$B$43)),0)</f>
        <v>2847</v>
      </c>
      <c r="D29" s="8">
        <f>IF(OR(Dashboard!$B$39="Todas",Dashboard!$B$39="Parcial"),SUMIFS(Dados_Tratados!$H$8:$H$611,Dados_Tratados!$B$8:$B$611,Dashboard!$B$47,Dados_Tratados!$C$8:$C$611,$B29,Dados_Tratados!$E$8:$E$611,"Parcial",Dados_Tratados!$F$8:$F$611,IF(Dashboard!$B$43="Todas","*",Dashboard!$B$43)),0)</f>
        <v>0</v>
      </c>
      <c r="E29" s="8">
        <f>SUM(C29:D29)</f>
        <v>2847</v>
      </c>
      <c r="F29" s="7"/>
      <c r="G29" s="7"/>
      <c r="H29" s="7"/>
    </row>
    <row r="30" spans="2:8">
      <c r="B30" s="7" t="s">
        <v>102</v>
      </c>
      <c r="C30" s="8">
        <f>IF(OR(Dashboard!$B$39="Todas",Dashboard!$B$39="Integral"),SUMIFS(Dados_Tratados!$H$8:$H$611,Dados_Tratados!$B$8:$B$611,Dashboard!$B$47,Dados_Tratados!$C$8:$C$611,$B30,Dados_Tratados!$E$8:$E$611,"Integral",Dados_Tratados!$F$8:$F$611,IF(Dashboard!$B$43="Todas","*",Dashboard!$B$43)),0)</f>
        <v>10548</v>
      </c>
      <c r="D30" s="8">
        <f>IF(OR(Dashboard!$B$39="Todas",Dashboard!$B$39="Parcial"),SUMIFS(Dados_Tratados!$H$8:$H$611,Dados_Tratados!$B$8:$B$611,Dashboard!$B$47,Dados_Tratados!$C$8:$C$611,$B30,Dados_Tratados!$E$8:$E$611,"Parcial",Dados_Tratados!$F$8:$F$611,IF(Dashboard!$B$43="Todas","*",Dashboard!$B$43)),0)</f>
        <v>0</v>
      </c>
      <c r="E30" s="8">
        <f>SUM(C30:D30)</f>
        <v>10548</v>
      </c>
      <c r="F30" s="7"/>
      <c r="G30" s="7"/>
      <c r="H30" s="7"/>
    </row>
    <row r="31" spans="2:8">
      <c r="B31" s="7" t="s">
        <v>112</v>
      </c>
      <c r="C31" s="8">
        <f>IF(OR(Dashboard!$B$39="Todas",Dashboard!$B$39="Integral"),SUMIFS(Dados_Tratados!$H$8:$H$611,Dados_Tratados!$B$8:$B$611,Dashboard!$B$47,Dados_Tratados!$C$8:$C$611,$B31,Dados_Tratados!$E$8:$E$611,"Integral",Dados_Tratados!$F$8:$F$611,IF(Dashboard!$B$43="Todas","*",Dashboard!$B$43)),0)</f>
        <v>5029</v>
      </c>
      <c r="D31" s="8">
        <f>IF(OR(Dashboard!$B$39="Todas",Dashboard!$B$39="Parcial"),SUMIFS(Dados_Tratados!$H$8:$H$611,Dados_Tratados!$B$8:$B$611,Dashboard!$B$47,Dados_Tratados!$C$8:$C$611,$B31,Dados_Tratados!$E$8:$E$611,"Parcial",Dados_Tratados!$F$8:$F$611,IF(Dashboard!$B$43="Todas","*",Dashboard!$B$43)),0)</f>
        <v>0</v>
      </c>
      <c r="E31" s="8">
        <f>SUM(C31:D31)</f>
        <v>5029</v>
      </c>
      <c r="F31" s="7"/>
      <c r="G31" s="7"/>
      <c r="H31" s="7"/>
    </row>
    <row r="32" spans="2:8">
      <c r="B32" s="7" t="s">
        <v>117</v>
      </c>
      <c r="C32" s="8">
        <f>IF(OR(Dashboard!$B$39="Todas",Dashboard!$B$39="Integral"),SUMIFS(Dados_Tratados!$H$8:$H$611,Dados_Tratados!$B$8:$B$611,Dashboard!$B$47,Dados_Tratados!$C$8:$C$611,$B32,Dados_Tratados!$E$8:$E$611,"Integral",Dados_Tratados!$F$8:$F$611,IF(Dashboard!$B$43="Todas","*",Dashboard!$B$43)),0)</f>
        <v>36498</v>
      </c>
      <c r="D32" s="8">
        <f>IF(OR(Dashboard!$B$39="Todas",Dashboard!$B$39="Parcial"),SUMIFS(Dados_Tratados!$H$8:$H$611,Dados_Tratados!$B$8:$B$611,Dashboard!$B$47,Dados_Tratados!$C$8:$C$611,$B32,Dados_Tratados!$E$8:$E$611,"Parcial",Dados_Tratados!$F$8:$F$611,IF(Dashboard!$B$43="Todas","*",Dashboard!$B$43)),0)</f>
        <v>0</v>
      </c>
      <c r="E32" s="8">
        <f>SUM(C32:D32)</f>
        <v>36498</v>
      </c>
      <c r="F32" s="7"/>
      <c r="G32" s="7"/>
      <c r="H32" s="7"/>
    </row>
    <row r="33" spans="2:11">
      <c r="B33" s="7" t="s">
        <v>122</v>
      </c>
      <c r="C33" s="8">
        <f>IF(OR(Dashboard!$B$39="Todas",Dashboard!$B$39="Integral"),SUMIFS(Dados_Tratados!$H$8:$H$611,Dados_Tratados!$B$8:$B$611,Dashboard!$B$47,Dados_Tratados!$C$8:$C$611,$B33,Dados_Tratados!$E$8:$E$611,"Integral",Dados_Tratados!$F$8:$F$611,IF(Dashboard!$B$43="Todas","*",Dashboard!$B$43)),0)</f>
        <v>12188</v>
      </c>
      <c r="D33" s="8">
        <f>IF(OR(Dashboard!$B$39="Todas",Dashboard!$B$39="Parcial"),SUMIFS(Dados_Tratados!$H$8:$H$611,Dados_Tratados!$B$8:$B$611,Dashboard!$B$47,Dados_Tratados!$C$8:$C$611,$B33,Dados_Tratados!$E$8:$E$611,"Parcial",Dados_Tratados!$F$8:$F$611,IF(Dashboard!$B$43="Todas","*",Dashboard!$B$43)),0)</f>
        <v>0</v>
      </c>
      <c r="E33" s="8">
        <f>SUM(C33:D33)</f>
        <v>12188</v>
      </c>
      <c r="F33" s="7"/>
      <c r="G33" s="7"/>
      <c r="H33" s="7"/>
    </row>
    <row r="36" spans="2:11">
      <c r="B36" s="47" t="s">
        <v>150</v>
      </c>
      <c r="C36" s="47"/>
      <c r="D36" s="47"/>
      <c r="E36" s="47"/>
      <c r="F36" s="47"/>
      <c r="G36" s="47"/>
      <c r="H36" s="47"/>
      <c r="I36" s="47"/>
      <c r="J36" s="47"/>
      <c r="K36" s="47"/>
    </row>
  </sheetData>
  <mergeCells count="7">
    <mergeCell ref="B27:G27"/>
    <mergeCell ref="B36:K36"/>
    <mergeCell ref="B1:L2"/>
    <mergeCell ref="B3:L3"/>
    <mergeCell ref="B5:L5"/>
    <mergeCell ref="B10:H10"/>
    <mergeCell ref="B17:H17"/>
  </mergeCells>
  <hyperlinks>
    <hyperlink ref="A4" location="'Dashboard'!B11" display="← DASHBOARD" xr:uid="{00000000-0004-0000-0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Assets</vt:lpstr>
      <vt:lpstr>Base_2005</vt:lpstr>
      <vt:lpstr>Base_2015</vt:lpstr>
      <vt:lpstr>Base_2025</vt:lpstr>
      <vt:lpstr>Dados_Tratados</vt:lpstr>
      <vt:lpstr>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Imaculada de Souza Saqueto</cp:lastModifiedBy>
  <dcterms:created xsi:type="dcterms:W3CDTF">2026-10-16T15:47:36Z</dcterms:created>
  <dcterms:modified xsi:type="dcterms:W3CDTF">2026-10-16T15:51:38Z</dcterms:modified>
</cp:coreProperties>
</file>